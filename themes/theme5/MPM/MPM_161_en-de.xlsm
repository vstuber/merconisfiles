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DieseArbeitsmappe" defaultThemeVersion="124226"/>
  <mc:AlternateContent xmlns:mc="http://schemas.openxmlformats.org/markup-compatibility/2006">
    <mc:Choice Requires="x15">
      <x15ac:absPath xmlns:x15ac="http://schemas.microsoft.com/office/spreadsheetml/2010/11/ac" url="L:\workspace\PROJECTS\MERCONIS\httpdocs\files\merconisfiles\themes\theme5\MPM\"/>
    </mc:Choice>
  </mc:AlternateContent>
  <bookViews>
    <workbookView xWindow="0" yWindow="0" windowWidth="21570" windowHeight="7965" tabRatio="436"/>
  </bookViews>
  <sheets>
    <sheet name="Produktverwaltung" sheetId="1" r:id="rId1"/>
    <sheet name="Konfiguration" sheetId="6" r:id="rId2"/>
    <sheet name="Basisparameter" sheetId="4" r:id="rId3"/>
    <sheet name="Löschprotokoll" sheetId="3" r:id="rId4"/>
  </sheets>
  <functionGroups builtInGroupCount="18"/>
  <definedNames>
    <definedName name="aktionswaehler">Produktverwaltung!$D$6</definedName>
    <definedName name="ausprägung">#REF!</definedName>
    <definedName name="basisparameterAktionen01">Basisparameter!$R$12:$R$1000</definedName>
    <definedName name="basisparameterAlterPreisPreisart">Basisparameter!$F$12:$F$1000</definedName>
    <definedName name="basisparameterAlterPreisVerwenden">Basisparameter!$G$12:$G$1000</definedName>
    <definedName name="basisparameterGewichtsangabe">Basisparameter!$H$12:$H$1000</definedName>
    <definedName name="basisparameterImportsperre">Basisparameter!$A$12:$A$1000</definedName>
    <definedName name="basisparameterLöschen">Basisparameter!$B$12:$B$1000</definedName>
    <definedName name="basisparameterNeuheit">Basisparameter!$I$12:$I$1000</definedName>
    <definedName name="basisparameterPreisart">Basisparameter!$E$12:$E$1000</definedName>
    <definedName name="basisparameterSonderpreis">Basisparameter!$J$12:$J$1000</definedName>
    <definedName name="basisparameterSprachen">Basisparameter!$Q$12:$Q$1000</definedName>
    <definedName name="basisparameterStaffelpreisAnwenden">Basisparameter!$L$12:$L$1011</definedName>
    <definedName name="basisparameterStaffelpreisArt">Basisparameter!$M$12:$M$1000</definedName>
    <definedName name="basisparameterStaffelpreisMengenermittlungKonfigurationenTrennen">Basisparameter!$O$12:$O$1000</definedName>
    <definedName name="basisparameterStaffelpreisMengenermittlungMethode">Basisparameter!$N$12:$N$1000</definedName>
    <definedName name="basisparameterTabellenblattnamen">Basisparameter!$P$12:$P$1000</definedName>
    <definedName name="basisparameterTyp">Basisparameter!$D$12:$D$1000</definedName>
    <definedName name="basisparameterVeröffentlichen">Basisparameter!$C$12:$C$1000</definedName>
    <definedName name="Checkbox_FeldauswahlVerwenden_Kategorie">"Kontrollkästchen 172"</definedName>
    <definedName name="ConfigurationFontStyleSizeRange">#REF!</definedName>
    <definedName name="Dropdown_Sprachwaehler004">Löschprotokoll!#REF!</definedName>
    <definedName name="Dropdown_Sprachwaehler04">Löschprotokoll!#REF!</definedName>
    <definedName name="epmVersion">Produktverwaltung!$C$9</definedName>
    <definedName name="flexContentAusblenden">Produktverwaltung!$Q$6</definedName>
    <definedName name="formelLokalTemporaerUmwandeln">Produktverwaltung!$K$6</definedName>
    <definedName name="FormelLokalTemporärUmwandeln">Produktverwaltung!$M$6</definedName>
    <definedName name="formelÜbergeordneteArtikelnummer">Produktverwaltung!$H$9</definedName>
    <definedName name="formelUebergeordneteArtikelnummer">Produktverwaltung!$I$6</definedName>
    <definedName name="formularParentProductCode">Produktverwaltung!$H$9</definedName>
    <definedName name="gewaehlteSprache">Produktverwaltung!$B$6</definedName>
    <definedName name="Größe_im_Produktmanager">#REF!</definedName>
    <definedName name="gruppenpreiseAusblenden">Produktverwaltung!$O$6</definedName>
    <definedName name="kategorie">#REF!</definedName>
    <definedName name="kategorienAuswaehlen">Produktverwaltung!$N$6</definedName>
    <definedName name="konfigurationAusprägung">Konfiguration!$C$12:$C$1000</definedName>
    <definedName name="konfigurationKategorie">Konfiguration!$D$12:$D$1000</definedName>
    <definedName name="konfigurationKonfigurator">Konfiguration!$J$12:$J$1000</definedName>
    <definedName name="konfigurationLagerUndLieferzeit">Konfiguration!$I$12:$I$1000</definedName>
    <definedName name="konfigurationMengeneinheit">Konfiguration!$G$12:$G$1000</definedName>
    <definedName name="konfigurationMengenvergleichspreis">Konfiguration!$H$12:$H$1000</definedName>
    <definedName name="konfigurationMerkmal">Konfiguration!$B$12:$B$1000</definedName>
    <definedName name="konfigurationMitgliedergruppen">Konfiguration!$E$12:$E$100</definedName>
    <definedName name="konfigurationSprache">Konfiguration!$A$12:$A$100</definedName>
    <definedName name="konfigurationSteuersatz">Konfiguration!$F$12:$F$1000</definedName>
    <definedName name="konfigurationTemplate">Konfiguration!$K$12:$K$1000</definedName>
    <definedName name="kopfbereichAusblenden">Produktverwaltung!$F$6</definedName>
    <definedName name="letzteAktiveZelle">Produktverwaltung!$A$6</definedName>
    <definedName name="merkmal">#REF!</definedName>
    <definedName name="merkmaleAuspraegungenAusblenden">Produktverwaltung!$G$6</definedName>
    <definedName name="modusUebergeordneteArtikelnummerEmitteln">Produktverwaltung!$J$6</definedName>
    <definedName name="produktkategorien">#REF!</definedName>
    <definedName name="seitenwaehler">Produktverwaltung!$C$6</definedName>
    <definedName name="sprache">#REF!</definedName>
    <definedName name="staffelpreiseAusblenden">Produktverwaltung!$H$6</definedName>
    <definedName name="steuersatz">#REF!</definedName>
    <definedName name="variantenAlleAusblenden">Produktverwaltung!$P$6</definedName>
    <definedName name="zentralwertMakrohinweis">Produktverwaltung!$J$2</definedName>
  </definedNames>
  <calcPr calcId="162913" calcMode="manual"/>
</workbook>
</file>

<file path=xl/calcChain.xml><?xml version="1.0" encoding="utf-8"?>
<calcChain xmlns="http://schemas.openxmlformats.org/spreadsheetml/2006/main">
  <c r="R26" i="4" l="1"/>
  <c r="A2" i="4"/>
  <c r="EN7" i="1"/>
  <c r="DV7" i="1"/>
  <c r="BC11" i="1"/>
  <c r="DM7" i="1"/>
  <c r="F67" i="1"/>
  <c r="R22" i="4"/>
  <c r="A4" i="4"/>
  <c r="AG7" i="1"/>
  <c r="EG11" i="1"/>
  <c r="DH11" i="1"/>
  <c r="EH11" i="1"/>
  <c r="EA11" i="1"/>
  <c r="FB7" i="1"/>
  <c r="F12" i="4"/>
  <c r="E14" i="4"/>
  <c r="A3" i="6"/>
  <c r="DY7" i="1"/>
  <c r="EI7" i="1"/>
  <c r="BK22" i="1"/>
  <c r="BL30" i="1"/>
  <c r="E11" i="6"/>
  <c r="ER7" i="1"/>
  <c r="CA11" i="1"/>
  <c r="N13" i="4"/>
  <c r="EP11" i="1"/>
  <c r="BK56" i="1"/>
  <c r="F33" i="1"/>
  <c r="X7" i="1"/>
  <c r="P12" i="4"/>
  <c r="I7" i="1"/>
  <c r="DZ7" i="1"/>
  <c r="F36" i="1"/>
  <c r="AM11" i="1"/>
  <c r="ET11" i="1"/>
  <c r="BL44" i="1"/>
  <c r="BK34" i="1"/>
  <c r="F16" i="1"/>
  <c r="AS11" i="1"/>
  <c r="F64" i="1"/>
  <c r="FV11" i="1"/>
  <c r="CK7" i="1"/>
  <c r="BZ7" i="1"/>
  <c r="BH58" i="1"/>
  <c r="BH56" i="1"/>
  <c r="BK66" i="1"/>
  <c r="EO64" i="1"/>
  <c r="FS7" i="1"/>
  <c r="EB11" i="1"/>
  <c r="A3" i="3"/>
  <c r="CE11" i="1"/>
  <c r="BX11" i="1"/>
  <c r="EK7" i="1"/>
  <c r="R16" i="4"/>
  <c r="U11" i="6"/>
  <c r="K11" i="4"/>
  <c r="BK7" i="1"/>
  <c r="F39" i="1"/>
  <c r="BU7" i="1"/>
  <c r="R11" i="4"/>
  <c r="CQ7" i="1"/>
  <c r="N11" i="4"/>
  <c r="AB11" i="1"/>
  <c r="R23" i="4"/>
  <c r="CR11" i="1"/>
  <c r="FM7" i="1"/>
  <c r="BL38" i="1"/>
  <c r="CS11" i="1"/>
  <c r="O17" i="6"/>
  <c r="CS7" i="1"/>
  <c r="DU7" i="1"/>
  <c r="AH7" i="1"/>
  <c r="S7" i="1"/>
  <c r="CO7" i="1"/>
  <c r="BB11" i="1"/>
  <c r="F13" i="1"/>
  <c r="F28" i="1"/>
  <c r="EO11" i="1"/>
  <c r="FA7" i="1"/>
  <c r="F12" i="1"/>
  <c r="BR52" i="1"/>
  <c r="E11" i="4"/>
  <c r="N15" i="4"/>
  <c r="BK11" i="1"/>
  <c r="BK50" i="1"/>
  <c r="CI11" i="1"/>
  <c r="CJ11" i="1"/>
  <c r="DY11" i="1"/>
  <c r="DZ11" i="1"/>
  <c r="O11" i="1"/>
  <c r="CY7" i="1"/>
  <c r="CP7" i="1"/>
  <c r="BL68" i="1"/>
  <c r="R25" i="4"/>
  <c r="DQ7" i="1"/>
  <c r="CM11" i="1"/>
  <c r="DK7" i="1"/>
  <c r="AL11" i="1"/>
  <c r="B11" i="4"/>
  <c r="BR56" i="1"/>
  <c r="F19" i="1"/>
  <c r="BW7" i="1"/>
  <c r="G11" i="1"/>
  <c r="BQ11" i="1"/>
  <c r="BG7" i="1"/>
  <c r="F53" i="1"/>
  <c r="BK52" i="1"/>
  <c r="ED11" i="1"/>
  <c r="AE7" i="1"/>
  <c r="BK44" i="1"/>
  <c r="F14" i="1"/>
  <c r="F41" i="1"/>
  <c r="BR11" i="1"/>
  <c r="Z11" i="1"/>
  <c r="BL40" i="1"/>
  <c r="AT7" i="1"/>
  <c r="X11" i="1"/>
  <c r="BE11" i="1"/>
  <c r="BR68" i="1"/>
  <c r="F45" i="1"/>
  <c r="BG11" i="1"/>
  <c r="I11" i="4"/>
  <c r="CA7" i="1"/>
  <c r="AE11" i="1"/>
  <c r="DG7" i="1"/>
  <c r="CG11" i="1"/>
  <c r="BK42" i="1"/>
  <c r="AK7" i="1"/>
  <c r="EX11" i="1"/>
  <c r="FH7" i="1"/>
  <c r="EO66" i="1"/>
  <c r="BZ11" i="1"/>
  <c r="EN11" i="1"/>
  <c r="DK11" i="1"/>
  <c r="DS11" i="1"/>
  <c r="BK16" i="1"/>
  <c r="BM11" i="1"/>
  <c r="J11" i="1"/>
  <c r="Z7" i="1"/>
  <c r="AP11" i="1"/>
  <c r="BS11" i="1"/>
  <c r="D14" i="4"/>
  <c r="F7" i="1"/>
  <c r="FE11" i="1"/>
  <c r="AX11" i="1"/>
  <c r="DU11" i="1"/>
  <c r="F17" i="1"/>
  <c r="D11" i="6"/>
  <c r="P14" i="4"/>
  <c r="DN7" i="1"/>
  <c r="DO11" i="1"/>
  <c r="FV7" i="1"/>
  <c r="F11" i="1"/>
  <c r="ES11" i="1"/>
  <c r="BL36" i="1"/>
  <c r="DL11" i="1"/>
  <c r="R32" i="4"/>
  <c r="DP11" i="1"/>
  <c r="BK36" i="1"/>
  <c r="F42" i="1"/>
  <c r="D12" i="4"/>
  <c r="EI11" i="1"/>
  <c r="DR7" i="1"/>
  <c r="FE7" i="1"/>
  <c r="BL32" i="1"/>
  <c r="N7" i="1"/>
  <c r="FL7" i="1"/>
  <c r="F62" i="1"/>
  <c r="Y11" i="6"/>
  <c r="DW11" i="1"/>
  <c r="CB7" i="1"/>
  <c r="AC11" i="6"/>
  <c r="DE11" i="1"/>
  <c r="CL11" i="1"/>
  <c r="EY7" i="1"/>
  <c r="A7" i="1"/>
  <c r="EO50" i="1"/>
  <c r="FK7" i="1"/>
  <c r="U11" i="1"/>
  <c r="BK40" i="1"/>
  <c r="AJ11" i="1"/>
  <c r="FP11" i="1"/>
  <c r="CW11" i="1"/>
  <c r="J11" i="6"/>
  <c r="D4" i="1"/>
  <c r="FU7" i="1"/>
  <c r="F23" i="1"/>
  <c r="BL60" i="1"/>
  <c r="EV7" i="1"/>
  <c r="AY7" i="1"/>
  <c r="DD7" i="1"/>
  <c r="BL20" i="1"/>
  <c r="F46" i="1"/>
  <c r="G11" i="4"/>
  <c r="EO7" i="1"/>
  <c r="AN7" i="1"/>
  <c r="B11" i="6"/>
  <c r="B11" i="1"/>
  <c r="AQ11" i="1"/>
  <c r="EZ7" i="1"/>
  <c r="BJ11" i="1"/>
  <c r="H14" i="4"/>
  <c r="F50" i="1"/>
  <c r="J2" i="1"/>
  <c r="N12" i="4"/>
  <c r="BR48" i="1"/>
  <c r="CN7" i="1"/>
  <c r="EB7" i="1"/>
  <c r="D15" i="4"/>
  <c r="A4" i="3"/>
  <c r="J11" i="4"/>
  <c r="O15" i="6"/>
  <c r="EY11" i="1"/>
  <c r="AG11" i="1"/>
  <c r="H13" i="4"/>
  <c r="DF7" i="1"/>
  <c r="AH11" i="6"/>
  <c r="CR7" i="1"/>
  <c r="F20" i="1"/>
  <c r="A11" i="6"/>
  <c r="BK20" i="1"/>
  <c r="M14" i="4"/>
  <c r="W7" i="1"/>
  <c r="F37" i="1"/>
  <c r="F65" i="1"/>
  <c r="DC11" i="1"/>
  <c r="AN11" i="1"/>
  <c r="BL12" i="1"/>
  <c r="A2" i="1"/>
  <c r="W11" i="1"/>
  <c r="AA11" i="6"/>
  <c r="EO60" i="1"/>
  <c r="AF11" i="6"/>
  <c r="FC7" i="1"/>
  <c r="M11" i="6"/>
  <c r="BH68" i="1"/>
  <c r="BK58" i="1"/>
  <c r="AF11" i="1"/>
  <c r="C11" i="1"/>
  <c r="Q7" i="1"/>
  <c r="F26" i="1"/>
  <c r="BL18" i="1"/>
  <c r="F15" i="1"/>
  <c r="BL48" i="1"/>
  <c r="BH66" i="1"/>
  <c r="N14" i="4"/>
  <c r="AF7" i="1"/>
  <c r="V11" i="1"/>
  <c r="FR11" i="1"/>
  <c r="F29" i="1"/>
  <c r="P11" i="6"/>
  <c r="EZ11" i="1"/>
  <c r="G7" i="1"/>
  <c r="H11" i="1"/>
  <c r="C11" i="6"/>
  <c r="F47" i="1"/>
  <c r="FG11" i="1"/>
  <c r="M13" i="4"/>
  <c r="F66" i="1"/>
  <c r="D11" i="1"/>
  <c r="C7" i="1"/>
  <c r="BS7" i="1"/>
  <c r="R15" i="4"/>
  <c r="I11" i="1"/>
  <c r="FY11" i="1"/>
  <c r="CZ11" i="1"/>
  <c r="U7" i="1"/>
  <c r="BK28" i="1"/>
  <c r="BQ7" i="1"/>
  <c r="H7" i="1"/>
  <c r="BU11" i="1"/>
  <c r="F56" i="1"/>
  <c r="FT7" i="1"/>
  <c r="BO11" i="1"/>
  <c r="BH60" i="1"/>
  <c r="A3" i="4"/>
  <c r="CP11" i="1"/>
  <c r="DV11" i="1"/>
  <c r="BK18" i="1"/>
  <c r="BH50" i="1"/>
  <c r="BH48" i="1"/>
  <c r="DL7" i="1"/>
  <c r="AW7" i="1"/>
  <c r="F38" i="1"/>
  <c r="S11" i="1"/>
  <c r="FT11" i="1"/>
  <c r="BL52" i="1"/>
  <c r="AO11" i="1"/>
  <c r="EF11" i="1"/>
  <c r="FK11" i="1"/>
  <c r="AM7" i="1"/>
  <c r="EE11" i="1"/>
  <c r="BL11" i="1"/>
  <c r="O14" i="6"/>
  <c r="F69" i="1"/>
  <c r="F18" i="1"/>
  <c r="R18" i="4"/>
  <c r="EO56" i="1"/>
  <c r="F11" i="4"/>
  <c r="EV11" i="1"/>
  <c r="A11" i="1"/>
  <c r="F40" i="1"/>
  <c r="EJ56" i="1"/>
  <c r="EP7" i="1"/>
  <c r="AD7" i="1"/>
  <c r="FH11" i="1"/>
  <c r="O7" i="1"/>
  <c r="R20" i="4"/>
  <c r="R7" i="1"/>
  <c r="A2" i="3"/>
  <c r="EO68" i="1"/>
  <c r="FS11" i="1"/>
  <c r="R11" i="1"/>
  <c r="P11" i="4"/>
  <c r="O13" i="6"/>
  <c r="BR58" i="1"/>
  <c r="M12" i="4"/>
  <c r="F60" i="1"/>
  <c r="EO52" i="1"/>
  <c r="D11" i="4"/>
  <c r="BH64" i="1"/>
  <c r="BK14" i="1"/>
  <c r="T11" i="1"/>
  <c r="AV11" i="1"/>
  <c r="R12" i="4"/>
  <c r="F27" i="1"/>
  <c r="W11" i="6"/>
  <c r="F44" i="1"/>
  <c r="BY11" i="1"/>
  <c r="EM7" i="1"/>
  <c r="AZ7" i="1"/>
  <c r="FQ11" i="1"/>
  <c r="BK26" i="1"/>
  <c r="FB11" i="1"/>
  <c r="BK12" i="1"/>
  <c r="BK68" i="1"/>
  <c r="DO7" i="1"/>
  <c r="AZ11" i="1"/>
  <c r="DR11" i="1"/>
  <c r="FC11" i="1"/>
  <c r="L11" i="4"/>
  <c r="FF11" i="1"/>
  <c r="DC7" i="1"/>
  <c r="FI7" i="1"/>
  <c r="F32" i="1"/>
  <c r="F34" i="1"/>
  <c r="CF7" i="1"/>
  <c r="F63" i="1"/>
  <c r="J7" i="1"/>
  <c r="EM11" i="1"/>
  <c r="CM7" i="1"/>
  <c r="AU11" i="1"/>
  <c r="F24" i="1"/>
  <c r="BH7" i="1"/>
  <c r="BH52" i="1"/>
  <c r="EU7" i="1"/>
  <c r="BL42" i="1"/>
  <c r="O18" i="6"/>
  <c r="R29" i="4"/>
  <c r="FQ7" i="1"/>
  <c r="CY11" i="1"/>
  <c r="Y7" i="1"/>
  <c r="FJ11" i="1"/>
  <c r="E13" i="4"/>
  <c r="T7" i="1"/>
  <c r="F61" i="1"/>
  <c r="F22" i="1"/>
  <c r="CJ7" i="1"/>
  <c r="FM11" i="1"/>
  <c r="EK11" i="1"/>
  <c r="M11" i="1"/>
  <c r="AJ7" i="1"/>
  <c r="BN7" i="1"/>
  <c r="BX7" i="1"/>
  <c r="AC7" i="1"/>
  <c r="D7" i="1"/>
  <c r="AO7" i="1"/>
  <c r="F25" i="1"/>
  <c r="BJ7" i="1"/>
  <c r="BV11" i="1"/>
  <c r="EX7" i="1"/>
  <c r="FN7" i="1"/>
  <c r="O16" i="6"/>
  <c r="BB7" i="1"/>
  <c r="FN11" i="1"/>
  <c r="ES7" i="1"/>
  <c r="EW7" i="1"/>
  <c r="F30" i="1"/>
  <c r="F58" i="1"/>
  <c r="DN11" i="1"/>
  <c r="AB7" i="1"/>
  <c r="R11" i="6"/>
  <c r="BL66" i="1"/>
  <c r="AX7" i="1"/>
  <c r="O11" i="4"/>
  <c r="AH11" i="1"/>
  <c r="F52" i="1"/>
  <c r="FP7" i="1"/>
  <c r="CE7" i="1"/>
  <c r="F43" i="1"/>
  <c r="CU7" i="1"/>
  <c r="BL34" i="1"/>
  <c r="AL7" i="1"/>
  <c r="EW11" i="1"/>
  <c r="B7" i="1"/>
  <c r="FJ7" i="1"/>
  <c r="CD11" i="1"/>
  <c r="EQ7" i="1"/>
  <c r="CG7" i="1"/>
  <c r="AU7" i="1"/>
  <c r="N11" i="1"/>
  <c r="R24" i="4"/>
  <c r="AC11" i="1"/>
  <c r="FG7" i="1"/>
  <c r="BK64" i="1"/>
  <c r="DD11" i="1"/>
  <c r="BK60" i="1"/>
  <c r="EH7" i="1"/>
  <c r="F31" i="1"/>
  <c r="BR60" i="1"/>
  <c r="F68" i="1"/>
  <c r="A2" i="6"/>
  <c r="BK32" i="1"/>
  <c r="BM7" i="1"/>
  <c r="BD11" i="1"/>
  <c r="F48" i="1"/>
  <c r="A3" i="1"/>
  <c r="R27" i="4"/>
  <c r="E12" i="4"/>
  <c r="R19" i="4"/>
  <c r="AD11" i="6"/>
  <c r="AR11" i="1"/>
  <c r="K11" i="1"/>
  <c r="F11" i="6"/>
  <c r="P15" i="4"/>
  <c r="EJ7" i="1"/>
  <c r="BK30" i="1"/>
  <c r="F57" i="1"/>
  <c r="AW11" i="1"/>
  <c r="CC7" i="1"/>
  <c r="FU11" i="1"/>
  <c r="FL11" i="1"/>
  <c r="AY11" i="1"/>
  <c r="FI11" i="1"/>
  <c r="AI11" i="1"/>
  <c r="AQ7" i="1"/>
  <c r="BD7" i="1"/>
  <c r="O11" i="6"/>
  <c r="BK24" i="1"/>
  <c r="EG7" i="1"/>
  <c r="BY7" i="1"/>
  <c r="F51" i="1"/>
  <c r="BE7" i="1"/>
  <c r="DT11" i="1"/>
  <c r="EF7" i="1"/>
  <c r="C11" i="4"/>
  <c r="K7" i="1"/>
  <c r="D13" i="4"/>
  <c r="BR50" i="1"/>
  <c r="F59" i="1"/>
  <c r="AV7" i="1"/>
  <c r="BW11" i="1"/>
  <c r="DP7" i="1"/>
  <c r="AA7" i="1"/>
  <c r="DS7" i="1"/>
  <c r="DA7" i="1"/>
  <c r="DE7" i="1"/>
  <c r="AA11" i="1"/>
  <c r="AT11" i="1"/>
  <c r="A4" i="1"/>
  <c r="K11" i="6"/>
  <c r="ET7" i="1"/>
  <c r="AR7" i="1"/>
  <c r="A11" i="4"/>
  <c r="BK48" i="1"/>
  <c r="BL22" i="1"/>
  <c r="BR7" i="1"/>
  <c r="FW11" i="1"/>
  <c r="H11" i="6"/>
  <c r="CI7" i="1"/>
  <c r="DI7" i="1"/>
  <c r="CB11" i="1"/>
  <c r="M7" i="1"/>
  <c r="P11" i="1"/>
  <c r="AK11" i="1"/>
  <c r="DH7" i="1"/>
  <c r="R30" i="4"/>
  <c r="O19" i="6"/>
  <c r="G11" i="6"/>
  <c r="BO7" i="1"/>
  <c r="I11" i="6"/>
  <c r="F13" i="4"/>
  <c r="EO58" i="1"/>
  <c r="V7" i="1"/>
  <c r="R13" i="4"/>
  <c r="AP7" i="1"/>
  <c r="EC7" i="1"/>
  <c r="DB7" i="1"/>
  <c r="DT7" i="1"/>
  <c r="BL58" i="1"/>
  <c r="AD11" i="1"/>
  <c r="BL24" i="1"/>
  <c r="Q11" i="1"/>
  <c r="DW7" i="1"/>
  <c r="Q11" i="4"/>
  <c r="F35" i="1"/>
  <c r="ED7" i="1"/>
  <c r="O12" i="6"/>
  <c r="H12" i="4"/>
  <c r="CZ7" i="1"/>
  <c r="BN11" i="1"/>
  <c r="DI11" i="1"/>
  <c r="P7" i="1"/>
  <c r="CT11" i="1"/>
  <c r="DA11" i="1"/>
  <c r="BL56" i="1"/>
  <c r="FR7" i="1"/>
  <c r="FA11" i="1"/>
  <c r="CD7" i="1"/>
  <c r="CX7" i="1"/>
  <c r="EJ11" i="1"/>
  <c r="BL64" i="1"/>
  <c r="EO48" i="1"/>
  <c r="BL50" i="1"/>
  <c r="FW7" i="1"/>
  <c r="EQ11" i="1"/>
  <c r="ER11" i="1"/>
  <c r="F21" i="1"/>
  <c r="FX7" i="1"/>
  <c r="H11" i="4"/>
  <c r="BV7" i="1"/>
  <c r="BC7" i="1"/>
  <c r="CW7" i="1"/>
  <c r="CC11" i="1"/>
  <c r="DM11" i="1"/>
  <c r="CK11" i="1"/>
  <c r="AS7" i="1"/>
  <c r="F14" i="4"/>
  <c r="EA7" i="1"/>
  <c r="BL7" i="1"/>
  <c r="BL16" i="1"/>
  <c r="DQ11" i="1"/>
  <c r="BL28" i="1"/>
  <c r="EE7" i="1"/>
  <c r="A4" i="6"/>
  <c r="BR66" i="1"/>
  <c r="FY7" i="1"/>
  <c r="CF11" i="1"/>
  <c r="CO11" i="1"/>
  <c r="AI7" i="1"/>
  <c r="CL7" i="1"/>
  <c r="DB11" i="1"/>
  <c r="DF11" i="1"/>
  <c r="CN11" i="1"/>
  <c r="EU11" i="1"/>
  <c r="FX11" i="1"/>
  <c r="BK38" i="1"/>
  <c r="F49" i="1"/>
  <c r="EC11" i="1"/>
  <c r="BL26" i="1"/>
  <c r="R17" i="4"/>
  <c r="BH11" i="1"/>
  <c r="CT7" i="1"/>
  <c r="CX11" i="1"/>
  <c r="Y11" i="1"/>
  <c r="CQ11" i="1"/>
  <c r="R14" i="4"/>
  <c r="F54" i="1"/>
  <c r="BR64" i="1"/>
  <c r="AI11" i="6"/>
  <c r="FF7" i="1"/>
  <c r="DG11" i="1"/>
  <c r="P13" i="4"/>
  <c r="M11" i="4"/>
  <c r="CU11" i="1"/>
  <c r="F55" i="1"/>
  <c r="I6" i="1" a="1"/>
  <c r="I6" i="1" l="1"/>
</calcChain>
</file>

<file path=xl/comments1.xml><?xml version="1.0" encoding="utf-8"?>
<comments xmlns="http://schemas.openxmlformats.org/spreadsheetml/2006/main">
  <authors>
    <author>ip</author>
  </authors>
  <commentList>
    <comment ref="BD10" authorId="0" shapeId="0">
      <text>
        <r>
          <rPr>
            <b/>
            <sz val="16"/>
            <color indexed="81"/>
            <rFont val="Tahoma"/>
            <family val="2"/>
          </rPr>
          <t>Ihre Kategorien verwalten Sie auf der Seite (Lasche) "Konfiguration".</t>
        </r>
      </text>
    </comment>
  </commentList>
</comments>
</file>

<file path=xl/sharedStrings.xml><?xml version="1.0" encoding="utf-8"?>
<sst xmlns="http://schemas.openxmlformats.org/spreadsheetml/2006/main" count="1017" uniqueCount="351">
  <si>
    <t>ignore</t>
  </si>
  <si>
    <t>delete</t>
  </si>
  <si>
    <t>publish</t>
  </si>
  <si>
    <t>type</t>
  </si>
  <si>
    <t>productcode</t>
  </si>
  <si>
    <t>parentProductcode</t>
  </si>
  <si>
    <t>language</t>
  </si>
  <si>
    <t>name</t>
  </si>
  <si>
    <t>property1</t>
  </si>
  <si>
    <t>value1</t>
  </si>
  <si>
    <t>property2</t>
  </si>
  <si>
    <t>value2</t>
  </si>
  <si>
    <t>property3</t>
  </si>
  <si>
    <t>value3</t>
  </si>
  <si>
    <t>property4</t>
  </si>
  <si>
    <t>value4</t>
  </si>
  <si>
    <t>property5</t>
  </si>
  <si>
    <t>value5</t>
  </si>
  <si>
    <t>property6</t>
  </si>
  <si>
    <t>value6</t>
  </si>
  <si>
    <t>property7</t>
  </si>
  <si>
    <t>value7</t>
  </si>
  <si>
    <t>property8</t>
  </si>
  <si>
    <t>value8</t>
  </si>
  <si>
    <t>property9</t>
  </si>
  <si>
    <t>value9</t>
  </si>
  <si>
    <t>property10</t>
  </si>
  <si>
    <t>value10</t>
  </si>
  <si>
    <t>property11</t>
  </si>
  <si>
    <t>value11</t>
  </si>
  <si>
    <t>property12</t>
  </si>
  <si>
    <t>value12</t>
  </si>
  <si>
    <t>property13</t>
  </si>
  <si>
    <t>value13</t>
  </si>
  <si>
    <t>property14</t>
  </si>
  <si>
    <t>value14</t>
  </si>
  <si>
    <t>property15</t>
  </si>
  <si>
    <t>value15</t>
  </si>
  <si>
    <t>property16</t>
  </si>
  <si>
    <t>value16</t>
  </si>
  <si>
    <t>property17</t>
  </si>
  <si>
    <t>value17</t>
  </si>
  <si>
    <t>property18</t>
  </si>
  <si>
    <t>value18</t>
  </si>
  <si>
    <t>property19</t>
  </si>
  <si>
    <t>value19</t>
  </si>
  <si>
    <t>property20</t>
  </si>
  <si>
    <t>value20</t>
  </si>
  <si>
    <t>description</t>
  </si>
  <si>
    <t>shortDescription</t>
  </si>
  <si>
    <t>category</t>
  </si>
  <si>
    <t>producer</t>
  </si>
  <si>
    <t>price</t>
  </si>
  <si>
    <t>priceType</t>
  </si>
  <si>
    <t>oldPrice</t>
  </si>
  <si>
    <t>oldPriceType</t>
  </si>
  <si>
    <t>taxclass</t>
  </si>
  <si>
    <t>weight</t>
  </si>
  <si>
    <t>weightType</t>
  </si>
  <si>
    <t>unit</t>
  </si>
  <si>
    <t>quantityComparisonUnit</t>
  </si>
  <si>
    <t>quantityComparisonDivisor</t>
  </si>
  <si>
    <t>quantityDecimals</t>
  </si>
  <si>
    <t>new</t>
  </si>
  <si>
    <t>onSale</t>
  </si>
  <si>
    <t>keywords</t>
  </si>
  <si>
    <t>image</t>
  </si>
  <si>
    <t>moreImages</t>
  </si>
  <si>
    <t>changeStock</t>
  </si>
  <si>
    <t>settingsForStockAndDeliveryTime</t>
  </si>
  <si>
    <t>recommendedProducts</t>
  </si>
  <si>
    <t>template</t>
  </si>
  <si>
    <t>äöüßéèê</t>
  </si>
  <si>
    <t>property</t>
  </si>
  <si>
    <t>value</t>
  </si>
  <si>
    <t>Deutsch</t>
  </si>
  <si>
    <t>F</t>
  </si>
  <si>
    <t>Stk.</t>
  </si>
  <si>
    <t>AUTOSAVE</t>
  </si>
  <si>
    <t>contentTranformationFontSizeXLS</t>
  </si>
  <si>
    <t>contentTranformationFontSizeHTML</t>
  </si>
  <si>
    <t>contentTranformationFontSizeXLSStandard</t>
  </si>
  <si>
    <t>autoRowHeight</t>
  </si>
  <si>
    <t>variantCreatorSettings</t>
  </si>
  <si>
    <t>variantCreatorSettingsValues</t>
  </si>
  <si>
    <t>textTemplateText</t>
  </si>
  <si>
    <t>textTemplateName</t>
  </si>
  <si>
    <t>de</t>
  </si>
  <si>
    <t>contentTranformation</t>
  </si>
  <si>
    <t>contentTranformationOnOff</t>
  </si>
  <si>
    <t>sorting</t>
  </si>
  <si>
    <t>configurator</t>
  </si>
  <si>
    <t>useOldPrice</t>
  </si>
  <si>
    <t>nichts</t>
  </si>
  <si>
    <t>standard</t>
  </si>
  <si>
    <t>negativ</t>
  </si>
  <si>
    <t>Damit das Layout nun nicht nackt im Raume steht und sich klein und leer vorkommt, springe ich ein: der Blindtext.</t>
  </si>
  <si>
    <t>Aliquyam</t>
  </si>
  <si>
    <t>0</t>
  </si>
  <si>
    <t>Legere</t>
  </si>
  <si>
    <t>B1-1251-01</t>
  </si>
  <si>
    <t>Ea commodo</t>
  </si>
  <si>
    <t>en</t>
  </si>
  <si>
    <t>Far far away, behind the word mountains, far from the countries Vokalia and Consonantia, there live the blind texts.</t>
  </si>
  <si>
    <t>pcs.</t>
  </si>
  <si>
    <t>B1-1252-01</t>
  </si>
  <si>
    <t>Eos et accusam</t>
  </si>
  <si>
    <t>D4-1205-01</t>
  </si>
  <si>
    <t>Gubergren</t>
  </si>
  <si>
    <t>Ponderum</t>
  </si>
  <si>
    <t>D2-1242-01</t>
  </si>
  <si>
    <t>Neam liber</t>
  </si>
  <si>
    <t>99</t>
  </si>
  <si>
    <t>Honestatis</t>
  </si>
  <si>
    <t>B1-1272-01</t>
  </si>
  <si>
    <t>Uld aliquip</t>
  </si>
  <si>
    <t>A1-1279-01</t>
  </si>
  <si>
    <t>B1-1334-01</t>
  </si>
  <si>
    <t>Vidit repudiandae</t>
  </si>
  <si>
    <t>Standardausführung</t>
  </si>
  <si>
    <t>Zwei flinke Boxer jagen die quirlige Eva und ihren Mops durch Sylt. Vogel Quax zwickt Johnys Pferd Bim.</t>
  </si>
  <si>
    <t>Ausführung als Negativ</t>
  </si>
  <si>
    <t>Ausführung in S/W</t>
  </si>
  <si>
    <t>A2-1285-01</t>
  </si>
  <si>
    <t>Est ne putent</t>
  </si>
  <si>
    <t>Viderer</t>
  </si>
  <si>
    <t>A2-1285-01-1</t>
  </si>
  <si>
    <t>80</t>
  </si>
  <si>
    <t>The quick, brown fox jumps over a lazy dog. DJs flock by when MTV ax quiz prog. Junk MTV quiz graced by fox whelps.</t>
  </si>
  <si>
    <t>A2-1285-01-2</t>
  </si>
  <si>
    <t>175</t>
  </si>
  <si>
    <t>A2-1285-01-3</t>
  </si>
  <si>
    <t>A1-1287-01</t>
  </si>
  <si>
    <t>Sententiae</t>
  </si>
  <si>
    <t>Omittam</t>
  </si>
  <si>
    <t>A1-1287-01-1</t>
  </si>
  <si>
    <t>A1-1287-01-2</t>
  </si>
  <si>
    <t>13</t>
  </si>
  <si>
    <t>A1-1287-01-3</t>
  </si>
  <si>
    <t>77</t>
  </si>
  <si>
    <t>B1-1292-01</t>
  </si>
  <si>
    <t>Ald putant</t>
  </si>
  <si>
    <t>B1-1292-01-1</t>
  </si>
  <si>
    <t>B1-1292-01-2</t>
  </si>
  <si>
    <t>B1-1292-01-3</t>
  </si>
  <si>
    <t>129</t>
  </si>
  <si>
    <t>Eine wunderbare Heiterkeit hat meine ganze Seele eingenommen, gleich den süßen Frühlingsmorgen, die ich mit ganzem Herzen genieße. Ich bin allein und freue mich meines Lebens in dieser Gegend, die für solche Seelen geschaffen ist wie die meine.</t>
  </si>
  <si>
    <t>A wonderful serenity has taken possession of my entire soul, like these sweet mornings of spring which I enjoy with my whole heart. I am alone, and feel the charm of existence in this spot, which was created for the bliss of souls like mine.</t>
  </si>
  <si>
    <t>Dies ist ein Typoblindtext. An ihm kann man sehen, ob alle Buchstaben da sind und wie sie aussehen. Manchmal benutzt man Worte wie Hamburgefonts, Rafgenduks oder Handgloves, um Schriften zu testen. Manchmal Sätze, die alle Buchstaben des Alphabets enthalten - man nennt diese Sätze »Pangrams«. Sehr bekannt ist dieser: The quick brown fox jumps over the lazy old dog.
Oft werden in Typoblindtexte auch fremdsprachige Satzteile eingebaut, um die Wirkung in anderen Sprachen zu testen. In Lateinisch sieht zum Beispiel fast jede Schrift gut aus. Quod erat demonstrandum.</t>
  </si>
  <si>
    <t>The European languages are members of the same family. Their separate existence is a myth. For science, music, sport, etc, Europe uses the same vocabulary. The languages only differ in their grammar, their pronunciation and their most common words.
Everyone realizes why a new common language would be desirable: one could refuse to pay expensive translators.</t>
  </si>
  <si>
    <t>50</t>
  </si>
  <si>
    <t>Beispiel/Example</t>
  </si>
  <si>
    <t>English</t>
  </si>
  <si>
    <t>flexContent3</t>
  </si>
  <si>
    <t>flexContent2</t>
  </si>
  <si>
    <t>flexContent1</t>
  </si>
  <si>
    <t>flexContent4</t>
  </si>
  <si>
    <t>flexContent5</t>
  </si>
  <si>
    <t>flexContent6</t>
  </si>
  <si>
    <t>flexContent7</t>
  </si>
  <si>
    <t>flexContent8</t>
  </si>
  <si>
    <t>flexContent9</t>
  </si>
  <si>
    <t>flexContent10</t>
  </si>
  <si>
    <t/>
  </si>
  <si>
    <t>45</t>
  </si>
  <si>
    <t>20</t>
  </si>
  <si>
    <t>58</t>
  </si>
  <si>
    <t>60</t>
  </si>
  <si>
    <t>black &amp; white</t>
  </si>
  <si>
    <t>full</t>
  </si>
  <si>
    <t>half</t>
  </si>
  <si>
    <t>exampleconfigurator</t>
  </si>
  <si>
    <t>semiautomode</t>
  </si>
  <si>
    <t>Goobergren</t>
  </si>
  <si>
    <t>B2-2145-01</t>
  </si>
  <si>
    <t>Nobis</t>
  </si>
  <si>
    <t>B2-2148-01</t>
  </si>
  <si>
    <t>Mollis legendos</t>
  </si>
  <si>
    <t>D1-2024-01</t>
  </si>
  <si>
    <t>Aliquid consequat</t>
  </si>
  <si>
    <t>25</t>
  </si>
  <si>
    <t>8</t>
  </si>
  <si>
    <t>Sonet choro</t>
  </si>
  <si>
    <t>A1-2031-01</t>
  </si>
  <si>
    <t>12</t>
  </si>
  <si>
    <t>A1-2049-01</t>
  </si>
  <si>
    <t>Dicat fabulas</t>
  </si>
  <si>
    <t>B1-2053-01</t>
  </si>
  <si>
    <t>Tation prodesset</t>
  </si>
  <si>
    <t>24</t>
  </si>
  <si>
    <t>D1-2062-01</t>
  </si>
  <si>
    <t>Legimus</t>
  </si>
  <si>
    <t>52</t>
  </si>
  <si>
    <t>Assueverit scribentur</t>
  </si>
  <si>
    <t>D2-2065-01</t>
  </si>
  <si>
    <t>15</t>
  </si>
  <si>
    <t>Cetero aperiam</t>
  </si>
  <si>
    <t>36</t>
  </si>
  <si>
    <t>A2-2083-01</t>
  </si>
  <si>
    <t>B2-2091-01</t>
  </si>
  <si>
    <t>Vide duis</t>
  </si>
  <si>
    <t>4</t>
  </si>
  <si>
    <t>32</t>
  </si>
  <si>
    <t>7</t>
  </si>
  <si>
    <t>14</t>
  </si>
  <si>
    <t>flexContent10LanguageIndependent</t>
  </si>
  <si>
    <t>flexContent9LanguageIndependent</t>
  </si>
  <si>
    <t>flexContent8LanguageIndependent</t>
  </si>
  <si>
    <t>flexContent7LanguageIndependent</t>
  </si>
  <si>
    <t>flexContent6LanguageIndependent</t>
  </si>
  <si>
    <t>flexContent5LanguageIndependent</t>
  </si>
  <si>
    <t>flexContent4LanguageIndependent</t>
  </si>
  <si>
    <t>flexContent3LanguageIndependent</t>
  </si>
  <si>
    <t>flexContent2LanguageIndependent</t>
  </si>
  <si>
    <t>flexContent1LanguageIndependent</t>
  </si>
  <si>
    <t>useScalePrice</t>
  </si>
  <si>
    <t>scalePriceType</t>
  </si>
  <si>
    <t>scalePriceQuantityDetectionMethod</t>
  </si>
  <si>
    <t>scalePriceQuantityDetectionAlwaysSeparateConfigurations</t>
  </si>
  <si>
    <t>scalePrice</t>
  </si>
  <si>
    <t>scalePriceKeyword</t>
  </si>
  <si>
    <t>5=156,3;10=154,62;20=152,1;50=148,74</t>
  </si>
  <si>
    <t>5=189,92;10=188,24;20=185,71;50=182,35</t>
  </si>
  <si>
    <t>5=63,87;10=62,18;20=59,66;50=56,3</t>
  </si>
  <si>
    <t>5=153,78;10=152,1;20=149,58;50=146,22</t>
  </si>
  <si>
    <t>5=72,27;10=70,59;20=68,07;50=64,71</t>
  </si>
  <si>
    <t>5=203,36;10=201,68;20=199,16;50=195,8</t>
  </si>
  <si>
    <t>5=181,51;10=179,83;20=177,31;50=173,95</t>
  </si>
  <si>
    <t>5=164,71;10=163,02;20=160,5;50=157,14</t>
  </si>
  <si>
    <t>5=189,92;10=188,23;20=185,71;50=182,35</t>
  </si>
  <si>
    <t>5=63,86;10=62,18;20=59,66;50=56,3</t>
  </si>
  <si>
    <t>5=114,28;10=112,6;20=110,08;50=106,72</t>
  </si>
  <si>
    <t>5=89,07;10=87,39;20=84,87;50=81,51</t>
  </si>
  <si>
    <t>5=178,15;10=176,47;20=173,95;50=170,59</t>
  </si>
  <si>
    <t>5=139,49;10=137,81;20=135,29;50=131,93</t>
  </si>
  <si>
    <t>5=198,32;10=196,64;20=194,12;50=190,76</t>
  </si>
  <si>
    <t>5=173,11;10=171,43;20=168,91;50=165,55</t>
  </si>
  <si>
    <t>variantenwertPreisTyp§§§§§§variantenwertPreis§§§§§§variantenwertAlterPreisTyp§§§§§§variantenwertAlterPreis§§§§§§variantenwertGewicht§§§§§§variantenwertGewichtTyp§§§§§§variantenwertLagerbestandsänderung§§§§§§variantenwertLieferzeit§§§§§§variantenwertHauptbild§§§="##epmMainCode##" &amp; "##epmSep##" &amp; "##epmSuffix##" &amp; ".jpg"§§§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True§§§variantenwertCheckboxHauptartikelGewichtVerwenden§§§True§§§variantenwertCheckboxHauptartikelLagerbestandLieferzeitVerwenden§§§True§§§variantenwertBeschreibung§§§§§§variantenwertKurzbeschreibung§§§§§§variantenwertCheckboxKurzbeschrIstFormel§§§True§§§variantenwertCheckboxBeschrIstFormel§§§True§§§variantenwertBezeichnung§§§="##epmMainName##"§§§variantenwertCheckboxBezeichnungIstFormel§§§True§§§variantenwertArtikelnummer§§§§§§variantenwertCheckboxArtikelnummerIstFormel§§§True§§§überschrift01Deutsch§§§True§§§überschrift02Deutsch§§§True§§§variantenwertCheckboxHauptbildIstFormel§§§True§§§variantenwertCheckboxWeitereBilderIstFormel§§§True§§§überschrift01English§§§True§§§überschrift02English§§§Tru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t>
  </si>
  <si>
    <t>topseller</t>
  </si>
  <si>
    <t>cool</t>
  </si>
  <si>
    <t>love</t>
  </si>
  <si>
    <t>future</t>
  </si>
  <si>
    <t>funny</t>
  </si>
  <si>
    <t>alias</t>
  </si>
  <si>
    <t>merconis-kategorie01</t>
  </si>
  <si>
    <t>merconis-kategorie01-01</t>
  </si>
  <si>
    <t>merconis-kategorie01-02</t>
  </si>
  <si>
    <t>merconis-kategorie02</t>
  </si>
  <si>
    <t>merconis-kategorie02-01</t>
  </si>
  <si>
    <t>merconis-kategorie02-02</t>
  </si>
  <si>
    <t>merconis-variantenbeispiele</t>
  </si>
  <si>
    <t>merconis-kategorie01,merconis-u-kategorie01-01</t>
  </si>
  <si>
    <t>merconis-kategorie01,merconis-u-kategorie01-02</t>
  </si>
  <si>
    <t>merconis-kategorie02,merconis-u-kategorie02-01</t>
  </si>
  <si>
    <t>merconis-kategorie02,merconis-u-kategorie02-02</t>
  </si>
  <si>
    <t>Mitgliedergruppenpreis</t>
  </si>
  <si>
    <t>1 [{B2C}]</t>
  </si>
  <si>
    <t>2 [{B2B}]</t>
  </si>
  <si>
    <t>1.4</t>
  </si>
  <si>
    <t>T</t>
  </si>
  <si>
    <t>_tProdukte_</t>
  </si>
  <si>
    <t>_tMerkmaleUndAusprägungen_</t>
  </si>
  <si>
    <t>_tBeschreibung_</t>
  </si>
  <si>
    <t>_tStaffelpreis_</t>
  </si>
  <si>
    <t>_tAlterPreis_</t>
  </si>
  <si>
    <t>_tGruppenpreis1_</t>
  </si>
  <si>
    <t>_tGruppenpreis2_</t>
  </si>
  <si>
    <t>_tGruppenpreis3_</t>
  </si>
  <si>
    <t>_tGruppenpreis4_</t>
  </si>
  <si>
    <t>_tGruppenpreis5_</t>
  </si>
  <si>
    <t>_tFlexContent_</t>
  </si>
  <si>
    <t>_tSteuerklasse_</t>
  </si>
  <si>
    <t>_tFlexContentSprachunabhängig_</t>
  </si>
  <si>
    <t>price_1</t>
  </si>
  <si>
    <t>priceForGroups_1</t>
  </si>
  <si>
    <t>priceType_1</t>
  </si>
  <si>
    <t>useScalePrice_1</t>
  </si>
  <si>
    <t>scalePriceType_1</t>
  </si>
  <si>
    <t>scalePriceQuantityDetectionMethod_1</t>
  </si>
  <si>
    <t>scalePriceQuantityDetectionAlwaysSeparateConfigurations_1</t>
  </si>
  <si>
    <t>scalePriceKeyword_1</t>
  </si>
  <si>
    <t>scalePrice_1</t>
  </si>
  <si>
    <t>oldPrice_1</t>
  </si>
  <si>
    <t>oldPriceType_1</t>
  </si>
  <si>
    <t>useOldPrice_1</t>
  </si>
  <si>
    <t>priceForGroups_2</t>
  </si>
  <si>
    <t>priceForGroups_3</t>
  </si>
  <si>
    <t>priceForGroups_4</t>
  </si>
  <si>
    <t>priceForGroups_5</t>
  </si>
  <si>
    <t>price_5</t>
  </si>
  <si>
    <t>priceType_5</t>
  </si>
  <si>
    <t>useScalePrice_5</t>
  </si>
  <si>
    <t>scalePriceType_5</t>
  </si>
  <si>
    <t>scalePriceQuantityDetectionMethod_5</t>
  </si>
  <si>
    <t>scalePriceQuantityDetectionAlwaysSeparateConfigurations_5</t>
  </si>
  <si>
    <t>scalePriceKeyword_5</t>
  </si>
  <si>
    <t>scalePrice_5</t>
  </si>
  <si>
    <t>oldPrice_5</t>
  </si>
  <si>
    <t>oldPriceType_5</t>
  </si>
  <si>
    <t>useOldPrice_5</t>
  </si>
  <si>
    <t>price_4</t>
  </si>
  <si>
    <t>priceType_4</t>
  </si>
  <si>
    <t>useScalePrice_4</t>
  </si>
  <si>
    <t>scalePriceType_4</t>
  </si>
  <si>
    <t>scalePriceQuantityDetectionMethod_4</t>
  </si>
  <si>
    <t>scalePriceQuantityDetectionAlwaysSeparateConfigurations_4</t>
  </si>
  <si>
    <t>scalePriceKeyword_4</t>
  </si>
  <si>
    <t>scalePrice_4</t>
  </si>
  <si>
    <t>oldPrice_4</t>
  </si>
  <si>
    <t>oldPriceType_4</t>
  </si>
  <si>
    <t>useOldPrice_4</t>
  </si>
  <si>
    <t>price_3</t>
  </si>
  <si>
    <t>priceType_3</t>
  </si>
  <si>
    <t>useScalePrice_3</t>
  </si>
  <si>
    <t>scalePriceType_3</t>
  </si>
  <si>
    <t>scalePriceQuantityDetectionMethod_3</t>
  </si>
  <si>
    <t>scalePriceQuantityDetectionAlwaysSeparateConfigurations_3</t>
  </si>
  <si>
    <t>scalePriceKeyword_3</t>
  </si>
  <si>
    <t>scalePrice_3</t>
  </si>
  <si>
    <t>oldPrice_3</t>
  </si>
  <si>
    <t>oldPriceType_3</t>
  </si>
  <si>
    <t>useOldPrice_3</t>
  </si>
  <si>
    <t>price_2</t>
  </si>
  <si>
    <t>priceType_2</t>
  </si>
  <si>
    <t>useScalePrice_2</t>
  </si>
  <si>
    <t>scalePriceType_2</t>
  </si>
  <si>
    <t>scalePriceQuantityDetectionMethod_2</t>
  </si>
  <si>
    <t>scalePriceQuantityDetectionAlwaysSeparateConfigurations_2</t>
  </si>
  <si>
    <t>scalePriceKeyword_2</t>
  </si>
  <si>
    <t>scalePrice_2</t>
  </si>
  <si>
    <t>oldPrice_2</t>
  </si>
  <si>
    <t>oldPriceType_2</t>
  </si>
  <si>
    <t>useOldPrice_2</t>
  </si>
  <si>
    <t>useGroupPrices_1</t>
  </si>
  <si>
    <t>useGroupPrices_2</t>
  </si>
  <si>
    <t>useGroupPrices_3</t>
  </si>
  <si>
    <t>useGroupPrices_4</t>
  </si>
  <si>
    <t>useGroupPrices_5</t>
  </si>
  <si>
    <t>useGroupPrices</t>
  </si>
  <si>
    <t>_tPreis_</t>
  </si>
  <si>
    <t>variantenwertPreisTyp§§§§§§variantenwertPreis§§§§§§variantenwertAlterPreisTyp§§§§§§variantenwertAlterPreis§§§§§§variantenwertGewicht§§§§§§variantenwertGewichtTyp§§§§§§variantenwertLagerbestandsänderung§§§§§§variantenwertLieferzeit§§§§§§variantenwertHauptbild§§§§§§variantenwertWeitereBilder§§§§§§Image2§§§§§§Image3§§§§§§variantenwertArtikelnummerPräfixStart§§§§§§variantenwertArtikelnummerSuffixStart§§§§§§variantenwertCheckboxHauptartikelnummerVerwenden§§§True§§§variantenwertArtikelnummerTrennzeichen§§§§§§variantenwertTextfeldFremdsprachen§§§§§§variantenwertCheckboxHauptartikelPreisVerwenden§§§True§§§variantenwertCheckboxHauptartikelAlterPreisVerwenden§§§False§§§variantenwertCheckboxHauptartikelGewichtVerwenden§§§False§§§variantenwertCheckboxHauptartikelLagerbestandLieferzeitVerwenden§§§True§§§variantenwertBeschreibung§§§§§§variantenwertKurzbeschreibung§§§§§§variantenwertCheckboxKurzbeschrIstFormel§§§False§§§variantenwertCheckboxBeschrIstFormel§§§False§§§variantenwertBezeichnung§§§§§§variantenwertCheckboxBezeichnungIstFormel§§§False§§§variantenwertArtikelnummer§§§§§§variantenwertCheckboxArtikelnummerIstFormel§§§False§§§überschrift02Deutsch§§§False§§§variantenwertCheckboxHauptbildIstFormel§§§False§§§variantenwertCheckboxWeitereBilderIstFormel§§§False§§§überschrift01English§§§Fals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überschrift01Deutsch§§§§§§überschrift02English§§§§§§standard_checkbox§§§True§§§cool_checkbox§§§True§§§love_checkbox§§§True</t>
  </si>
  <si>
    <t>1.61</t>
  </si>
  <si>
    <t>stil</t>
  </si>
  <si>
    <t>ausführung</t>
  </si>
  <si>
    <t>alternative-1</t>
  </si>
  <si>
    <t>alternative-2</t>
  </si>
  <si>
    <t>lieferbar-sofort</t>
  </si>
  <si>
    <t>liefertermin-unbekannt</t>
  </si>
  <si>
    <t>lieferbar-in-1-bis-2-werktagen</t>
  </si>
  <si>
    <t>lieferbar-in-3-bis-5-werktagen</t>
  </si>
  <si>
    <t>standard ausführung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</si>
</sst>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000000"/>
  </numFmts>
  <fonts count="18" x14ac:knownFonts="1">
    <font>
      <sz val="11"/>
      <color theme="1"/>
      <name val="Calibri"/>
      <family val="2"/>
      <scheme val="minor"/>
    </font>
    <font>
      <b/>
      <sz val="16"/>
      <color indexed="81"/>
      <name val="Tahoma"/>
      <family val="2"/>
    </font>
    <font>
      <sz val="10"/>
      <color theme="1"/>
      <name val="Arial Narrow"/>
      <family val="2"/>
    </font>
    <font>
      <sz val="24"/>
      <color theme="1"/>
      <name val="Arial Narrow"/>
      <family val="2"/>
    </font>
    <font>
      <sz val="11"/>
      <color theme="1"/>
      <name val="Arial Narrow"/>
      <family val="2"/>
    </font>
    <font>
      <b/>
      <sz val="12"/>
      <color theme="1"/>
      <name val="Arial Narrow"/>
      <family val="2"/>
    </font>
    <font>
      <sz val="12"/>
      <color theme="1"/>
      <name val="Arial Narrow"/>
      <family val="2"/>
    </font>
    <font>
      <sz val="10"/>
      <color theme="0"/>
      <name val="Arial Narrow"/>
      <family val="2"/>
    </font>
    <font>
      <b/>
      <sz val="24"/>
      <color theme="1"/>
      <name val="Arial Narrow"/>
      <family val="2"/>
    </font>
    <font>
      <sz val="8"/>
      <color theme="1"/>
      <name val="Arial Narrow"/>
      <family val="2"/>
    </font>
    <font>
      <sz val="1"/>
      <color theme="0"/>
      <name val="Arial Narrow"/>
      <family val="2"/>
    </font>
    <font>
      <sz val="10"/>
      <color rgb="FFFFFFFF"/>
      <name val="Arial Narrow"/>
      <family val="2"/>
    </font>
    <font>
      <sz val="11"/>
      <color rgb="FFFFFFFF"/>
      <name val="Arial Narrow"/>
      <family val="2"/>
    </font>
    <font>
      <sz val="11"/>
      <color rgb="FFFF0000"/>
      <name val="Arial Narrow"/>
      <family val="2"/>
    </font>
    <font>
      <b/>
      <sz val="24"/>
      <color rgb="FFFF0000"/>
      <name val="Arial Narrow"/>
      <family val="2"/>
    </font>
    <font>
      <sz val="8"/>
      <color rgb="FF000000"/>
      <name val="Tahoma"/>
      <family val="2"/>
    </font>
    <font>
      <b/>
      <sz val="12"/>
      <color rgb="FFF1F1F2"/>
      <name val="Arial Narrow"/>
      <family val="2"/>
    </font>
    <font>
      <b/>
      <sz val="24"/>
      <color rgb="FFFFFFFF"/>
      <name val="Arial Narrow"/>
      <family val="2"/>
    </font>
  </fonts>
  <fills count="1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A9A9A9"/>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E2E6DE"/>
        <bgColor indexed="64"/>
      </patternFill>
    </fill>
    <fill>
      <patternFill patternType="solid">
        <fgColor rgb="FFC0DDF2"/>
        <bgColor indexed="64"/>
      </patternFill>
    </fill>
    <fill>
      <patternFill patternType="solid">
        <fgColor rgb="FF1B6729"/>
        <bgColor indexed="64"/>
      </patternFill>
    </fill>
    <fill>
      <patternFill patternType="solid">
        <fgColor rgb="FF248837"/>
        <bgColor indexed="64"/>
      </patternFill>
    </fill>
    <fill>
      <patternFill patternType="solid">
        <fgColor rgb="FFBFBFB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top style="hair">
        <color auto="1"/>
      </top>
      <bottom style="hair">
        <color auto="1"/>
      </bottom>
      <diagonal/>
    </border>
    <border>
      <left style="hair">
        <color auto="1"/>
      </left>
      <right style="hair">
        <color auto="1"/>
      </right>
      <top/>
      <bottom/>
      <diagonal/>
    </border>
  </borders>
  <cellStyleXfs count="1">
    <xf numFmtId="0" fontId="0" fillId="0" borderId="0"/>
  </cellStyleXfs>
  <cellXfs count="178">
    <xf numFmtId="0" fontId="0" fillId="0" borderId="0" xfId="0"/>
    <xf numFmtId="0" fontId="4" fillId="2" borderId="0" xfId="0" applyFont="1" applyFill="1" applyBorder="1" applyProtection="1"/>
    <xf numFmtId="0" fontId="4" fillId="4" borderId="0" xfId="0" applyFont="1" applyFill="1" applyBorder="1" applyProtection="1"/>
    <xf numFmtId="0" fontId="6" fillId="2" borderId="0" xfId="0" applyFont="1" applyFill="1" applyAlignment="1" applyProtection="1">
      <alignment wrapText="1"/>
    </xf>
    <xf numFmtId="0" fontId="4" fillId="2" borderId="0" xfId="0" applyFont="1" applyFill="1" applyProtection="1">
      <protection locked="0"/>
    </xf>
    <xf numFmtId="0" fontId="2" fillId="2" borderId="0" xfId="0" applyFont="1" applyFill="1" applyBorder="1" applyAlignment="1" applyProtection="1">
      <alignment vertical="top"/>
    </xf>
    <xf numFmtId="0" fontId="3" fillId="2" borderId="0" xfId="0" applyFont="1" applyFill="1" applyBorder="1" applyAlignment="1" applyProtection="1">
      <alignment vertical="top"/>
    </xf>
    <xf numFmtId="0" fontId="2" fillId="3" borderId="0" xfId="0" applyFont="1" applyFill="1" applyBorder="1" applyAlignment="1" applyProtection="1">
      <alignment vertical="top"/>
    </xf>
    <xf numFmtId="0" fontId="2" fillId="2" borderId="0" xfId="0" applyFont="1" applyFill="1" applyBorder="1" applyAlignment="1" applyProtection="1">
      <alignment vertical="top" wrapText="1"/>
    </xf>
    <xf numFmtId="0" fontId="4" fillId="2" borderId="0" xfId="0" applyFont="1" applyFill="1" applyProtection="1"/>
    <xf numFmtId="0" fontId="2" fillId="2" borderId="0" xfId="0" applyFont="1" applyFill="1" applyBorder="1" applyProtection="1"/>
    <xf numFmtId="0" fontId="2" fillId="2" borderId="0" xfId="0" applyNumberFormat="1" applyFont="1" applyFill="1" applyBorder="1" applyAlignment="1" applyProtection="1">
      <alignment vertical="top"/>
    </xf>
    <xf numFmtId="0" fontId="2" fillId="3" borderId="0" xfId="0" applyNumberFormat="1" applyFont="1" applyFill="1" applyBorder="1" applyAlignment="1" applyProtection="1">
      <alignment vertical="top"/>
    </xf>
    <xf numFmtId="164" fontId="2" fillId="2" borderId="0" xfId="0" applyNumberFormat="1" applyFont="1" applyFill="1" applyBorder="1" applyAlignment="1" applyProtection="1">
      <alignment vertical="top"/>
    </xf>
    <xf numFmtId="164" fontId="2" fillId="3" borderId="0" xfId="0" applyNumberFormat="1" applyFont="1" applyFill="1" applyBorder="1" applyAlignment="1" applyProtection="1">
      <alignment vertical="top"/>
    </xf>
    <xf numFmtId="2" fontId="2" fillId="2" borderId="0" xfId="0" applyNumberFormat="1" applyFont="1" applyFill="1" applyBorder="1" applyAlignment="1" applyProtection="1">
      <alignment vertical="top"/>
    </xf>
    <xf numFmtId="2" fontId="2" fillId="3" borderId="0" xfId="0" applyNumberFormat="1" applyFont="1" applyFill="1" applyBorder="1" applyAlignment="1" applyProtection="1">
      <alignment vertical="top"/>
    </xf>
    <xf numFmtId="1" fontId="2" fillId="2" borderId="0" xfId="0" applyNumberFormat="1" applyFont="1" applyFill="1" applyBorder="1" applyAlignment="1" applyProtection="1">
      <alignment vertical="top"/>
    </xf>
    <xf numFmtId="1" fontId="2" fillId="3" borderId="0" xfId="0" applyNumberFormat="1" applyFont="1" applyFill="1" applyBorder="1" applyAlignment="1" applyProtection="1">
      <alignment vertical="top"/>
    </xf>
    <xf numFmtId="165" fontId="2" fillId="2" borderId="0" xfId="0" applyNumberFormat="1" applyFont="1" applyFill="1" applyBorder="1" applyAlignment="1" applyProtection="1">
      <alignment vertical="top"/>
    </xf>
    <xf numFmtId="165" fontId="2" fillId="3" borderId="0" xfId="0" applyNumberFormat="1" applyFont="1" applyFill="1" applyBorder="1" applyAlignment="1" applyProtection="1">
      <alignment vertical="top"/>
    </xf>
    <xf numFmtId="0" fontId="4" fillId="6" borderId="1" xfId="0" applyFont="1" applyFill="1" applyBorder="1" applyProtection="1">
      <protection locked="0"/>
    </xf>
    <xf numFmtId="0" fontId="9" fillId="9" borderId="0" xfId="0" applyFont="1" applyFill="1" applyBorder="1" applyAlignment="1" applyProtection="1">
      <alignment vertical="top" wrapText="1"/>
    </xf>
    <xf numFmtId="164" fontId="9" fillId="9" borderId="0" xfId="0" applyNumberFormat="1" applyFont="1" applyFill="1" applyBorder="1" applyAlignment="1" applyProtection="1">
      <alignment vertical="top" wrapText="1"/>
    </xf>
    <xf numFmtId="0" fontId="9" fillId="9" borderId="0" xfId="0" applyNumberFormat="1" applyFont="1" applyFill="1" applyBorder="1" applyAlignment="1" applyProtection="1">
      <alignment vertical="top" wrapText="1"/>
    </xf>
    <xf numFmtId="2" fontId="9" fillId="9" borderId="0" xfId="0" applyNumberFormat="1" applyFont="1" applyFill="1" applyBorder="1" applyAlignment="1" applyProtection="1">
      <alignment vertical="top" wrapText="1"/>
    </xf>
    <xf numFmtId="165" fontId="9" fillId="9" borderId="0" xfId="0" applyNumberFormat="1" applyFont="1" applyFill="1" applyBorder="1" applyAlignment="1" applyProtection="1">
      <alignment vertical="top" wrapText="1"/>
    </xf>
    <xf numFmtId="1" fontId="9" fillId="9" borderId="0" xfId="0" applyNumberFormat="1" applyFont="1" applyFill="1" applyBorder="1" applyAlignment="1" applyProtection="1">
      <alignment vertical="top" wrapText="1"/>
    </xf>
    <xf numFmtId="0" fontId="9" fillId="8" borderId="0" xfId="0" applyFont="1" applyFill="1" applyBorder="1" applyAlignment="1" applyProtection="1">
      <alignment vertical="top" wrapText="1"/>
    </xf>
    <xf numFmtId="164" fontId="9" fillId="8" borderId="0" xfId="0" applyNumberFormat="1" applyFont="1" applyFill="1" applyBorder="1" applyAlignment="1" applyProtection="1">
      <alignment vertical="top" wrapText="1"/>
    </xf>
    <xf numFmtId="0" fontId="9" fillId="8" borderId="0" xfId="0" applyNumberFormat="1" applyFont="1" applyFill="1" applyBorder="1" applyAlignment="1" applyProtection="1">
      <alignment vertical="top" wrapText="1"/>
    </xf>
    <xf numFmtId="2" fontId="9" fillId="8" borderId="0" xfId="0" applyNumberFormat="1" applyFont="1" applyFill="1" applyBorder="1" applyAlignment="1" applyProtection="1">
      <alignment vertical="top" wrapText="1"/>
    </xf>
    <xf numFmtId="165" fontId="9" fillId="8" borderId="0" xfId="0" applyNumberFormat="1" applyFont="1" applyFill="1" applyBorder="1" applyAlignment="1" applyProtection="1">
      <alignment vertical="top" wrapText="1"/>
    </xf>
    <xf numFmtId="1" fontId="9" fillId="8" borderId="0" xfId="0" applyNumberFormat="1" applyFont="1" applyFill="1" applyBorder="1" applyAlignment="1" applyProtection="1">
      <alignment vertical="top" wrapText="1"/>
    </xf>
    <xf numFmtId="0" fontId="9" fillId="7" borderId="0" xfId="0" applyFont="1" applyFill="1" applyBorder="1" applyAlignment="1" applyProtection="1">
      <alignment vertical="top" wrapText="1"/>
    </xf>
    <xf numFmtId="164" fontId="9" fillId="7" borderId="0" xfId="0" applyNumberFormat="1" applyFont="1" applyFill="1" applyBorder="1" applyAlignment="1" applyProtection="1">
      <alignment vertical="top" wrapText="1"/>
    </xf>
    <xf numFmtId="0" fontId="9" fillId="7" borderId="0" xfId="0" applyNumberFormat="1" applyFont="1" applyFill="1" applyBorder="1" applyAlignment="1" applyProtection="1">
      <alignment vertical="top" wrapText="1"/>
    </xf>
    <xf numFmtId="2" fontId="9" fillId="7" borderId="0" xfId="0" applyNumberFormat="1" applyFont="1" applyFill="1" applyBorder="1" applyAlignment="1" applyProtection="1">
      <alignment vertical="top" wrapText="1"/>
    </xf>
    <xf numFmtId="165" fontId="9" fillId="7" borderId="0" xfId="0" applyNumberFormat="1" applyFont="1" applyFill="1" applyBorder="1" applyAlignment="1" applyProtection="1">
      <alignment vertical="top" wrapText="1"/>
    </xf>
    <xf numFmtId="1" fontId="9" fillId="7" borderId="0" xfId="0" applyNumberFormat="1" applyFont="1" applyFill="1" applyBorder="1" applyAlignment="1" applyProtection="1">
      <alignment vertical="top" wrapText="1"/>
    </xf>
    <xf numFmtId="0" fontId="2" fillId="2" borderId="0" xfId="0" applyFont="1" applyFill="1" applyBorder="1" applyAlignment="1" applyProtection="1">
      <alignment horizontal="left" vertical="top"/>
      <protection locked="0"/>
    </xf>
    <xf numFmtId="0" fontId="4" fillId="6" borderId="0" xfId="0" applyFont="1" applyFill="1" applyProtection="1"/>
    <xf numFmtId="0" fontId="5" fillId="6" borderId="2" xfId="0" applyFont="1" applyFill="1" applyBorder="1" applyAlignment="1" applyProtection="1">
      <alignment horizontal="center" wrapText="1"/>
    </xf>
    <xf numFmtId="0" fontId="4" fillId="2" borderId="0" xfId="0" applyFont="1" applyFill="1" applyBorder="1" applyProtection="1">
      <protection locked="0"/>
    </xf>
    <xf numFmtId="0" fontId="2" fillId="2" borderId="0" xfId="0" applyFont="1" applyFill="1" applyBorder="1" applyAlignment="1" applyProtection="1">
      <alignment vertical="top" wrapText="1"/>
      <protection locked="0"/>
    </xf>
    <xf numFmtId="0" fontId="2" fillId="0" borderId="0" xfId="0" applyFont="1" applyProtection="1">
      <protection locked="0"/>
    </xf>
    <xf numFmtId="0" fontId="2" fillId="2" borderId="0" xfId="0" applyFont="1" applyFill="1" applyBorder="1" applyAlignment="1" applyProtection="1">
      <alignment vertical="center"/>
    </xf>
    <xf numFmtId="0" fontId="2" fillId="3" borderId="0" xfId="0" applyFont="1" applyFill="1" applyBorder="1" applyAlignment="1" applyProtection="1">
      <alignment vertical="center"/>
    </xf>
    <xf numFmtId="0" fontId="9" fillId="9" borderId="0" xfId="0" applyFont="1" applyFill="1" applyBorder="1" applyAlignment="1" applyProtection="1">
      <alignment vertical="center" wrapText="1"/>
    </xf>
    <xf numFmtId="0" fontId="9" fillId="8" borderId="0" xfId="0" applyFont="1" applyFill="1" applyBorder="1" applyAlignment="1" applyProtection="1">
      <alignment vertical="center" wrapText="1"/>
    </xf>
    <xf numFmtId="0" fontId="9" fillId="7" borderId="0" xfId="0" applyFont="1" applyFill="1" applyBorder="1" applyAlignment="1" applyProtection="1">
      <alignment vertical="center" wrapText="1"/>
    </xf>
    <xf numFmtId="0" fontId="4" fillId="10" borderId="0" xfId="0" applyFont="1" applyFill="1" applyProtection="1"/>
    <xf numFmtId="0" fontId="5" fillId="10" borderId="2" xfId="0" applyFont="1" applyFill="1" applyBorder="1" applyAlignment="1" applyProtection="1">
      <alignment horizontal="center" wrapText="1"/>
    </xf>
    <xf numFmtId="0" fontId="4" fillId="10" borderId="1" xfId="0" applyFont="1" applyFill="1" applyBorder="1" applyProtection="1">
      <protection locked="0"/>
    </xf>
    <xf numFmtId="0" fontId="5" fillId="6" borderId="5" xfId="0" applyFont="1" applyFill="1" applyBorder="1" applyAlignment="1" applyProtection="1">
      <alignment wrapText="1"/>
    </xf>
    <xf numFmtId="0" fontId="5" fillId="6" borderId="2" xfId="0" applyFont="1" applyFill="1" applyBorder="1" applyAlignment="1" applyProtection="1">
      <alignment wrapText="1"/>
    </xf>
    <xf numFmtId="49" fontId="2" fillId="2" borderId="0" xfId="0" applyNumberFormat="1" applyFont="1" applyFill="1" applyBorder="1" applyAlignment="1" applyProtection="1">
      <alignment vertical="top"/>
    </xf>
    <xf numFmtId="49" fontId="2" fillId="3" borderId="0" xfId="0" applyNumberFormat="1" applyFont="1" applyFill="1" applyBorder="1" applyAlignment="1" applyProtection="1">
      <alignment vertical="top"/>
    </xf>
    <xf numFmtId="49" fontId="9" fillId="9" borderId="0" xfId="0" applyNumberFormat="1" applyFont="1" applyFill="1" applyBorder="1" applyAlignment="1" applyProtection="1">
      <alignment vertical="top" wrapText="1"/>
    </xf>
    <xf numFmtId="49" fontId="9" fillId="8" borderId="0" xfId="0" applyNumberFormat="1" applyFont="1" applyFill="1" applyBorder="1" applyAlignment="1" applyProtection="1">
      <alignment vertical="top" wrapText="1"/>
    </xf>
    <xf numFmtId="49" fontId="9" fillId="7" borderId="0" xfId="0" applyNumberFormat="1" applyFont="1" applyFill="1" applyBorder="1" applyAlignment="1" applyProtection="1">
      <alignment vertical="top" wrapText="1"/>
    </xf>
    <xf numFmtId="0" fontId="4" fillId="10" borderId="1" xfId="0" applyFont="1" applyFill="1" applyBorder="1" applyProtection="1"/>
    <xf numFmtId="0" fontId="9" fillId="5" borderId="0" xfId="0" applyFont="1" applyFill="1" applyBorder="1" applyAlignment="1" applyProtection="1">
      <alignment vertical="top" wrapText="1"/>
    </xf>
    <xf numFmtId="49" fontId="9" fillId="5" borderId="0" xfId="0" applyNumberFormat="1" applyFont="1" applyFill="1" applyBorder="1" applyAlignment="1" applyProtection="1">
      <alignment vertical="top" wrapText="1"/>
    </xf>
    <xf numFmtId="164" fontId="9" fillId="5" borderId="0" xfId="0" applyNumberFormat="1" applyFont="1" applyFill="1" applyBorder="1" applyAlignment="1" applyProtection="1">
      <alignment vertical="top" wrapText="1"/>
    </xf>
    <xf numFmtId="0" fontId="9" fillId="5" borderId="0" xfId="0" applyNumberFormat="1" applyFont="1" applyFill="1" applyBorder="1" applyAlignment="1" applyProtection="1">
      <alignment vertical="top" wrapText="1"/>
    </xf>
    <xf numFmtId="2" fontId="9" fillId="5" borderId="0" xfId="0" applyNumberFormat="1" applyFont="1" applyFill="1" applyBorder="1" applyAlignment="1" applyProtection="1">
      <alignment vertical="top" wrapText="1"/>
    </xf>
    <xf numFmtId="165" fontId="9" fillId="5" borderId="0" xfId="0" applyNumberFormat="1" applyFont="1" applyFill="1" applyBorder="1" applyAlignment="1" applyProtection="1">
      <alignment vertical="top" wrapText="1"/>
    </xf>
    <xf numFmtId="1" fontId="9" fillId="5" borderId="0" xfId="0" applyNumberFormat="1" applyFont="1" applyFill="1" applyBorder="1" applyAlignment="1" applyProtection="1">
      <alignment vertical="top" wrapText="1"/>
    </xf>
    <xf numFmtId="0" fontId="9" fillId="5" borderId="0" xfId="0" applyFont="1" applyFill="1" applyBorder="1" applyAlignment="1" applyProtection="1">
      <alignment vertical="center" wrapText="1"/>
    </xf>
    <xf numFmtId="0" fontId="2" fillId="0" borderId="6" xfId="0" applyFont="1" applyBorder="1" applyAlignment="1" applyProtection="1">
      <alignment horizontal="center" vertical="center" wrapText="1"/>
      <protection locked="0"/>
    </xf>
    <xf numFmtId="0" fontId="2" fillId="0" borderId="6" xfId="0" applyFont="1" applyBorder="1" applyAlignment="1" applyProtection="1">
      <alignment horizontal="left" vertical="top" wrapText="1"/>
      <protection locked="0"/>
    </xf>
    <xf numFmtId="49" fontId="2" fillId="0" borderId="6" xfId="0" applyNumberFormat="1" applyFont="1" applyBorder="1" applyAlignment="1" applyProtection="1">
      <alignment horizontal="left" vertical="top" wrapText="1"/>
      <protection locked="0"/>
    </xf>
    <xf numFmtId="0" fontId="2" fillId="0" borderId="6" xfId="0" applyNumberFormat="1" applyFont="1" applyBorder="1" applyAlignment="1" applyProtection="1">
      <alignment horizontal="left" vertical="top" wrapText="1"/>
      <protection locked="0"/>
    </xf>
    <xf numFmtId="2" fontId="2" fillId="0" borderId="6" xfId="0" applyNumberFormat="1" applyFont="1" applyBorder="1" applyAlignment="1" applyProtection="1">
      <alignment horizontal="left" vertical="top" wrapText="1"/>
      <protection locked="0"/>
    </xf>
    <xf numFmtId="165" fontId="2" fillId="0" borderId="6" xfId="0" applyNumberFormat="1" applyFont="1" applyBorder="1" applyAlignment="1" applyProtection="1">
      <alignment horizontal="left" vertical="top" wrapText="1"/>
      <protection locked="0"/>
    </xf>
    <xf numFmtId="1" fontId="2" fillId="0" borderId="6"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center" wrapText="1"/>
      <protection locked="0"/>
    </xf>
    <xf numFmtId="49" fontId="2" fillId="0" borderId="6" xfId="0" applyNumberFormat="1" applyFont="1" applyBorder="1" applyAlignment="1" applyProtection="1">
      <alignment horizontal="left" vertical="center" wrapText="1"/>
      <protection locked="0"/>
    </xf>
    <xf numFmtId="49" fontId="2" fillId="0" borderId="0" xfId="0" applyNumberFormat="1" applyFont="1" applyFill="1" applyBorder="1" applyAlignment="1" applyProtection="1">
      <alignment vertical="top"/>
    </xf>
    <xf numFmtId="0" fontId="2" fillId="0" borderId="0" xfId="0" applyFont="1" applyFill="1" applyBorder="1" applyAlignment="1" applyProtection="1">
      <alignment vertical="top"/>
    </xf>
    <xf numFmtId="0" fontId="10" fillId="0" borderId="0" xfId="0" applyFont="1" applyFill="1" applyBorder="1" applyAlignment="1" applyProtection="1">
      <alignment vertical="top"/>
    </xf>
    <xf numFmtId="0" fontId="10" fillId="0" borderId="0" xfId="0" applyFont="1" applyFill="1" applyBorder="1" applyAlignment="1" applyProtection="1"/>
    <xf numFmtId="164" fontId="2" fillId="0" borderId="6" xfId="0" applyNumberFormat="1" applyFont="1" applyBorder="1" applyAlignment="1" applyProtection="1">
      <alignment horizontal="right" vertical="top" wrapText="1"/>
      <protection locked="0"/>
    </xf>
    <xf numFmtId="0" fontId="2" fillId="3" borderId="0" xfId="0" applyFont="1" applyFill="1" applyBorder="1" applyAlignment="1" applyProtection="1">
      <alignment horizontal="center" vertical="center"/>
    </xf>
    <xf numFmtId="0" fontId="9" fillId="9" borderId="0"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4" fillId="11" borderId="1" xfId="0" applyFont="1" applyFill="1" applyBorder="1" applyProtection="1">
      <protection locked="0"/>
    </xf>
    <xf numFmtId="0" fontId="10" fillId="2" borderId="0" xfId="0" applyFont="1" applyFill="1" applyBorder="1" applyAlignment="1" applyProtection="1">
      <alignment vertical="top"/>
    </xf>
    <xf numFmtId="0" fontId="11" fillId="2" borderId="0" xfId="0" applyFont="1" applyFill="1" applyBorder="1" applyAlignment="1" applyProtection="1">
      <alignment vertical="top"/>
    </xf>
    <xf numFmtId="0" fontId="4" fillId="6" borderId="1" xfId="0" applyFont="1" applyFill="1" applyBorder="1" applyProtection="1"/>
    <xf numFmtId="0" fontId="12" fillId="2" borderId="0" xfId="0" applyFont="1" applyFill="1" applyBorder="1" applyProtection="1"/>
    <xf numFmtId="0" fontId="13" fillId="2" borderId="0" xfId="0" applyFont="1" applyFill="1" applyBorder="1" applyProtection="1"/>
    <xf numFmtId="0" fontId="2" fillId="12" borderId="0" xfId="0" applyFont="1" applyFill="1" applyBorder="1" applyAlignment="1" applyProtection="1">
      <alignment vertical="top"/>
      <protection locked="0"/>
    </xf>
    <xf numFmtId="0" fontId="2" fillId="12" borderId="0" xfId="0" applyNumberFormat="1" applyFont="1" applyFill="1" applyBorder="1" applyAlignment="1" applyProtection="1">
      <alignment vertical="top"/>
      <protection locked="0"/>
    </xf>
    <xf numFmtId="164" fontId="2" fillId="12" borderId="0" xfId="0" applyNumberFormat="1" applyFont="1" applyFill="1" applyBorder="1" applyAlignment="1" applyProtection="1">
      <alignment vertical="top"/>
      <protection locked="0"/>
    </xf>
    <xf numFmtId="2" fontId="2" fillId="12" borderId="0" xfId="0" applyNumberFormat="1" applyFont="1" applyFill="1" applyBorder="1" applyAlignment="1" applyProtection="1">
      <alignment vertical="top"/>
      <protection locked="0"/>
    </xf>
    <xf numFmtId="165" fontId="2" fillId="12" borderId="0" xfId="0" applyNumberFormat="1" applyFont="1" applyFill="1" applyBorder="1" applyAlignment="1" applyProtection="1">
      <alignment vertical="top"/>
      <protection locked="0"/>
    </xf>
    <xf numFmtId="1" fontId="2" fillId="12" borderId="0" xfId="0" applyNumberFormat="1" applyFont="1" applyFill="1" applyBorder="1" applyAlignment="1" applyProtection="1">
      <alignment vertical="top"/>
      <protection locked="0"/>
    </xf>
    <xf numFmtId="0" fontId="2" fillId="12" borderId="0" xfId="0" applyFont="1" applyFill="1" applyBorder="1" applyAlignment="1" applyProtection="1">
      <alignment horizontal="center" vertical="center"/>
      <protection locked="0"/>
    </xf>
    <xf numFmtId="0" fontId="2" fillId="12" borderId="0" xfId="0" applyFont="1" applyFill="1" applyBorder="1" applyAlignment="1" applyProtection="1">
      <alignment vertical="center"/>
      <protection locked="0"/>
    </xf>
    <xf numFmtId="49" fontId="2" fillId="12" borderId="0" xfId="0" applyNumberFormat="1" applyFont="1" applyFill="1" applyBorder="1" applyAlignment="1" applyProtection="1">
      <alignment vertical="top"/>
      <protection locked="0"/>
    </xf>
    <xf numFmtId="0" fontId="2" fillId="0" borderId="1"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top" wrapText="1"/>
      <protection locked="0"/>
    </xf>
    <xf numFmtId="2" fontId="2" fillId="0" borderId="7" xfId="0" applyNumberFormat="1" applyFont="1" applyBorder="1" applyAlignment="1" applyProtection="1">
      <alignment horizontal="left" vertical="top" wrapText="1"/>
      <protection locked="0"/>
    </xf>
    <xf numFmtId="0" fontId="2" fillId="0" borderId="7" xfId="0" applyNumberFormat="1" applyFont="1" applyBorder="1" applyAlignment="1" applyProtection="1">
      <alignment horizontal="left" vertical="top" wrapText="1"/>
      <protection locked="0"/>
    </xf>
    <xf numFmtId="49" fontId="2" fillId="0" borderId="7" xfId="0" applyNumberFormat="1" applyFont="1" applyBorder="1" applyAlignment="1" applyProtection="1">
      <alignment horizontal="left" vertical="top" wrapText="1"/>
      <protection locked="0"/>
    </xf>
    <xf numFmtId="0" fontId="2" fillId="0" borderId="7" xfId="0" applyFont="1" applyBorder="1" applyAlignment="1" applyProtection="1">
      <alignment horizontal="left" vertical="top" wrapText="1"/>
      <protection locked="0"/>
    </xf>
    <xf numFmtId="0" fontId="2" fillId="0" borderId="7" xfId="0" applyFont="1" applyBorder="1" applyAlignment="1" applyProtection="1">
      <alignment horizontal="center" vertical="center" wrapText="1"/>
      <protection locked="0"/>
    </xf>
    <xf numFmtId="164" fontId="2" fillId="0" borderId="7" xfId="0" applyNumberFormat="1" applyFont="1" applyBorder="1" applyAlignment="1" applyProtection="1">
      <alignment horizontal="right" vertical="top" wrapText="1"/>
      <protection locked="0"/>
    </xf>
    <xf numFmtId="49" fontId="2" fillId="0" borderId="8" xfId="0" applyNumberFormat="1" applyFont="1" applyBorder="1" applyAlignment="1" applyProtection="1">
      <alignment horizontal="center" vertical="top" wrapText="1"/>
      <protection locked="0"/>
    </xf>
    <xf numFmtId="49" fontId="2" fillId="0" borderId="8" xfId="0" applyNumberFormat="1" applyFont="1" applyBorder="1" applyAlignment="1" applyProtection="1">
      <alignment horizontal="left" vertical="top" wrapText="1"/>
      <protection locked="0"/>
    </xf>
    <xf numFmtId="2" fontId="2" fillId="0" borderId="1" xfId="0" applyNumberFormat="1" applyFont="1" applyBorder="1" applyAlignment="1" applyProtection="1">
      <alignment horizontal="left" vertical="top" wrapText="1"/>
      <protection locked="0"/>
    </xf>
    <xf numFmtId="49" fontId="2" fillId="0" borderId="9" xfId="0" applyNumberFormat="1" applyFont="1" applyBorder="1" applyAlignment="1" applyProtection="1">
      <alignment horizontal="left" vertical="top" wrapText="1"/>
      <protection locked="0"/>
    </xf>
    <xf numFmtId="49" fontId="2" fillId="0" borderId="1" xfId="0" applyNumberFormat="1" applyFont="1" applyBorder="1" applyAlignment="1" applyProtection="1">
      <alignment horizontal="left" vertical="top" wrapText="1"/>
      <protection locked="0"/>
    </xf>
    <xf numFmtId="0" fontId="2" fillId="0" borderId="10" xfId="0" applyFont="1" applyBorder="1" applyAlignment="1" applyProtection="1">
      <alignment horizontal="left" vertical="top" wrapText="1"/>
      <protection locked="0"/>
    </xf>
    <xf numFmtId="0" fontId="2" fillId="0" borderId="10" xfId="0" applyFont="1" applyBorder="1" applyAlignment="1" applyProtection="1">
      <alignment horizontal="center" vertical="center" wrapText="1"/>
      <protection locked="0"/>
    </xf>
    <xf numFmtId="49" fontId="2" fillId="0" borderId="10" xfId="0" applyNumberFormat="1" applyFont="1" applyBorder="1" applyAlignment="1" applyProtection="1">
      <alignment horizontal="left" vertical="top" wrapText="1"/>
      <protection locked="0"/>
    </xf>
    <xf numFmtId="164" fontId="2" fillId="0" borderId="10" xfId="0" applyNumberFormat="1" applyFont="1" applyBorder="1" applyAlignment="1" applyProtection="1">
      <alignment horizontal="right" vertical="top" wrapText="1"/>
      <protection locked="0"/>
    </xf>
    <xf numFmtId="0" fontId="2" fillId="0" borderId="10" xfId="0" applyNumberFormat="1" applyFont="1" applyBorder="1" applyAlignment="1" applyProtection="1">
      <alignment horizontal="left" vertical="top" wrapText="1"/>
      <protection locked="0"/>
    </xf>
    <xf numFmtId="49" fontId="2" fillId="0" borderId="11" xfId="0" applyNumberFormat="1" applyFont="1" applyBorder="1" applyAlignment="1" applyProtection="1">
      <alignment horizontal="left" vertical="center" wrapText="1"/>
      <protection locked="0"/>
    </xf>
    <xf numFmtId="49" fontId="2" fillId="0" borderId="0" xfId="0" applyNumberFormat="1" applyFont="1" applyBorder="1" applyAlignment="1" applyProtection="1">
      <alignment horizontal="left" vertical="top" wrapText="1"/>
      <protection locked="0"/>
    </xf>
    <xf numFmtId="2" fontId="2" fillId="0" borderId="0" xfId="0" applyNumberFormat="1" applyFont="1" applyBorder="1" applyAlignment="1" applyProtection="1">
      <alignment horizontal="left" vertical="top" wrapText="1"/>
      <protection locked="0"/>
    </xf>
    <xf numFmtId="0" fontId="2" fillId="0" borderId="0" xfId="0" applyNumberFormat="1" applyFont="1" applyBorder="1" applyAlignment="1" applyProtection="1">
      <alignment horizontal="left" vertical="top" wrapText="1"/>
      <protection locked="0"/>
    </xf>
    <xf numFmtId="0" fontId="2" fillId="0" borderId="12" xfId="0" applyFont="1" applyBorder="1" applyAlignment="1" applyProtection="1">
      <alignment horizontal="left" vertical="top" wrapText="1"/>
      <protection locked="0"/>
    </xf>
    <xf numFmtId="0" fontId="2" fillId="0" borderId="12" xfId="0" applyFont="1" applyBorder="1" applyAlignment="1" applyProtection="1">
      <alignment horizontal="center" vertical="center" wrapText="1"/>
      <protection locked="0"/>
    </xf>
    <xf numFmtId="49" fontId="2" fillId="0" borderId="12" xfId="0" applyNumberFormat="1" applyFont="1" applyBorder="1" applyAlignment="1" applyProtection="1">
      <alignment horizontal="left" vertical="top" wrapText="1"/>
      <protection locked="0"/>
    </xf>
    <xf numFmtId="164" fontId="2" fillId="0" borderId="12" xfId="0" applyNumberFormat="1" applyFont="1" applyBorder="1" applyAlignment="1" applyProtection="1">
      <alignment horizontal="right" vertical="top" wrapText="1"/>
      <protection locked="0"/>
    </xf>
    <xf numFmtId="0" fontId="2" fillId="0" borderId="12" xfId="0" applyNumberFormat="1" applyFont="1" applyBorder="1" applyAlignment="1" applyProtection="1">
      <alignment horizontal="left" vertical="top" wrapText="1"/>
      <protection locked="0"/>
    </xf>
    <xf numFmtId="0" fontId="14" fillId="2" borderId="0" xfId="0" applyFont="1" applyFill="1" applyBorder="1" applyAlignment="1" applyProtection="1">
      <alignment horizontal="left" vertical="top"/>
    </xf>
    <xf numFmtId="0" fontId="7" fillId="2" borderId="0" xfId="0" applyFont="1" applyFill="1" applyBorder="1" applyAlignment="1" applyProtection="1">
      <alignment vertical="top"/>
    </xf>
    <xf numFmtId="49" fontId="7" fillId="2" borderId="0" xfId="0" applyNumberFormat="1" applyFont="1" applyFill="1" applyBorder="1" applyAlignment="1" applyProtection="1">
      <alignment vertical="top"/>
    </xf>
    <xf numFmtId="164" fontId="7" fillId="2" borderId="0" xfId="0" applyNumberFormat="1" applyFont="1" applyFill="1" applyBorder="1" applyAlignment="1" applyProtection="1">
      <alignment vertical="top"/>
    </xf>
    <xf numFmtId="0" fontId="7" fillId="2" borderId="0" xfId="0" applyNumberFormat="1" applyFont="1" applyFill="1" applyBorder="1" applyAlignment="1" applyProtection="1">
      <alignment vertical="top"/>
    </xf>
    <xf numFmtId="2" fontId="7" fillId="2" borderId="0" xfId="0" applyNumberFormat="1" applyFont="1" applyFill="1" applyBorder="1" applyAlignment="1" applyProtection="1">
      <alignment vertical="top"/>
    </xf>
    <xf numFmtId="165" fontId="7" fillId="2" borderId="0" xfId="0" applyNumberFormat="1" applyFont="1" applyFill="1" applyBorder="1" applyAlignment="1" applyProtection="1">
      <alignment vertical="top"/>
    </xf>
    <xf numFmtId="1" fontId="7" fillId="2" borderId="0" xfId="0" applyNumberFormat="1" applyFont="1" applyFill="1" applyBorder="1" applyAlignment="1" applyProtection="1">
      <alignment vertical="top"/>
    </xf>
    <xf numFmtId="0" fontId="7" fillId="2" borderId="0" xfId="0" applyFont="1" applyFill="1" applyBorder="1" applyAlignment="1" applyProtection="1">
      <alignment vertical="center"/>
    </xf>
    <xf numFmtId="0" fontId="7" fillId="14" borderId="0" xfId="0" applyFont="1" applyFill="1" applyBorder="1" applyAlignment="1" applyProtection="1">
      <alignment vertical="top"/>
    </xf>
    <xf numFmtId="0" fontId="7" fillId="14" borderId="0" xfId="0" applyNumberFormat="1" applyFont="1" applyFill="1" applyBorder="1" applyAlignment="1" applyProtection="1">
      <alignment horizontal="left" vertical="top" wrapText="1"/>
    </xf>
    <xf numFmtId="164" fontId="7" fillId="14" borderId="0" xfId="0" applyNumberFormat="1" applyFont="1" applyFill="1" applyBorder="1" applyAlignment="1" applyProtection="1">
      <alignment horizontal="left" vertical="top" wrapText="1"/>
    </xf>
    <xf numFmtId="2" fontId="7" fillId="14" borderId="0" xfId="0" applyNumberFormat="1" applyFont="1" applyFill="1" applyBorder="1" applyAlignment="1" applyProtection="1">
      <alignment horizontal="left" vertical="top" wrapText="1"/>
    </xf>
    <xf numFmtId="165" fontId="7" fillId="14" borderId="0" xfId="0" applyNumberFormat="1" applyFont="1" applyFill="1" applyBorder="1" applyAlignment="1" applyProtection="1">
      <alignment horizontal="left" vertical="top" wrapText="1"/>
    </xf>
    <xf numFmtId="1" fontId="7" fillId="14" borderId="0" xfId="0" applyNumberFormat="1" applyFont="1" applyFill="1" applyBorder="1" applyAlignment="1" applyProtection="1">
      <alignment horizontal="left" vertical="top" wrapText="1"/>
    </xf>
    <xf numFmtId="49" fontId="7" fillId="14" borderId="0" xfId="0" applyNumberFormat="1" applyFont="1" applyFill="1" applyBorder="1" applyAlignment="1" applyProtection="1">
      <alignment horizontal="left" vertical="top" wrapText="1"/>
    </xf>
    <xf numFmtId="0" fontId="7" fillId="14" borderId="4" xfId="0" applyFont="1" applyFill="1" applyBorder="1" applyAlignment="1" applyProtection="1">
      <alignment vertical="top"/>
    </xf>
    <xf numFmtId="0" fontId="16" fillId="14" borderId="2" xfId="0" applyFont="1" applyFill="1" applyBorder="1" applyAlignment="1" applyProtection="1">
      <alignment horizontal="center" wrapText="1"/>
    </xf>
    <xf numFmtId="0" fontId="4" fillId="11" borderId="3" xfId="0" applyFont="1" applyFill="1" applyBorder="1" applyProtection="1">
      <protection locked="0"/>
    </xf>
    <xf numFmtId="0" fontId="4" fillId="13" borderId="0" xfId="0" applyFont="1" applyFill="1" applyProtection="1"/>
    <xf numFmtId="0" fontId="5" fillId="13" borderId="2" xfId="0" applyFont="1" applyFill="1" applyBorder="1" applyAlignment="1" applyProtection="1">
      <alignment horizontal="center" wrapText="1"/>
    </xf>
    <xf numFmtId="0" fontId="4" fillId="13" borderId="1" xfId="0" applyFont="1" applyFill="1" applyBorder="1" applyProtection="1">
      <protection locked="0"/>
    </xf>
    <xf numFmtId="0" fontId="16" fillId="14" borderId="2" xfId="0" applyFont="1" applyFill="1" applyBorder="1" applyAlignment="1" applyProtection="1">
      <alignment horizontal="center"/>
    </xf>
    <xf numFmtId="0" fontId="7" fillId="15" borderId="0" xfId="0" applyNumberFormat="1" applyFont="1" applyFill="1" applyBorder="1" applyAlignment="1" applyProtection="1">
      <alignment horizontal="left" vertical="top" wrapText="1"/>
    </xf>
    <xf numFmtId="164" fontId="7" fillId="15" borderId="0" xfId="0" applyNumberFormat="1" applyFont="1" applyFill="1" applyBorder="1" applyAlignment="1" applyProtection="1">
      <alignment horizontal="left" vertical="top" wrapText="1"/>
    </xf>
    <xf numFmtId="0" fontId="2" fillId="0" borderId="0" xfId="0" applyNumberFormat="1" applyFont="1" applyFill="1" applyBorder="1" applyAlignment="1" applyProtection="1">
      <alignment vertical="top"/>
    </xf>
    <xf numFmtId="0" fontId="7" fillId="0"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protection locked="0"/>
    </xf>
    <xf numFmtId="0" fontId="9" fillId="16" borderId="0" xfId="0" applyNumberFormat="1" applyFont="1" applyFill="1" applyBorder="1" applyAlignment="1" applyProtection="1">
      <alignment vertical="top" wrapText="1"/>
    </xf>
    <xf numFmtId="0" fontId="7" fillId="16" borderId="0" xfId="0" applyNumberFormat="1" applyFont="1" applyFill="1" applyBorder="1" applyAlignment="1" applyProtection="1">
      <alignment horizontal="left" vertical="top" wrapText="1"/>
    </xf>
    <xf numFmtId="49" fontId="2" fillId="16" borderId="6" xfId="0" applyNumberFormat="1" applyFont="1" applyFill="1" applyBorder="1" applyAlignment="1" applyProtection="1">
      <alignment horizontal="center" vertical="top" wrapText="1"/>
      <protection locked="0"/>
    </xf>
    <xf numFmtId="49" fontId="2" fillId="16" borderId="8" xfId="0" applyNumberFormat="1" applyFont="1" applyFill="1" applyBorder="1" applyAlignment="1" applyProtection="1">
      <alignment horizontal="center" vertical="top" wrapText="1"/>
      <protection locked="0"/>
    </xf>
    <xf numFmtId="49" fontId="2" fillId="16" borderId="6" xfId="0" applyNumberFormat="1" applyFont="1" applyFill="1" applyBorder="1" applyAlignment="1" applyProtection="1">
      <alignment horizontal="center" vertical="center" wrapText="1"/>
      <protection locked="0"/>
    </xf>
    <xf numFmtId="0" fontId="2" fillId="16" borderId="0" xfId="0" applyFont="1" applyFill="1" applyBorder="1" applyAlignment="1" applyProtection="1">
      <alignment vertical="top"/>
    </xf>
    <xf numFmtId="49" fontId="2" fillId="16" borderId="10" xfId="0" applyNumberFormat="1" applyFont="1" applyFill="1" applyBorder="1" applyAlignment="1" applyProtection="1">
      <alignment horizontal="left" vertical="top" wrapText="1"/>
      <protection locked="0"/>
    </xf>
    <xf numFmtId="49" fontId="2" fillId="16" borderId="6" xfId="0" applyNumberFormat="1" applyFont="1" applyFill="1" applyBorder="1" applyAlignment="1" applyProtection="1">
      <alignment horizontal="left" vertical="top" wrapText="1"/>
      <protection locked="0"/>
    </xf>
    <xf numFmtId="49" fontId="2" fillId="16" borderId="7" xfId="0" applyNumberFormat="1" applyFont="1" applyFill="1" applyBorder="1" applyAlignment="1" applyProtection="1">
      <alignment horizontal="left" vertical="top" wrapText="1"/>
      <protection locked="0"/>
    </xf>
    <xf numFmtId="49" fontId="2" fillId="16" borderId="12" xfId="0" applyNumberFormat="1" applyFont="1" applyFill="1" applyBorder="1" applyAlignment="1" applyProtection="1">
      <alignment horizontal="left" vertical="top" wrapText="1"/>
      <protection locked="0"/>
    </xf>
    <xf numFmtId="0" fontId="7" fillId="0" borderId="0" xfId="0" applyFont="1" applyFill="1" applyBorder="1" applyAlignment="1" applyProtection="1">
      <alignment vertical="top"/>
    </xf>
    <xf numFmtId="164" fontId="2" fillId="0" borderId="10" xfId="0" applyNumberFormat="1" applyFont="1" applyBorder="1" applyAlignment="1" applyProtection="1">
      <alignment horizontal="left" vertical="top" wrapText="1"/>
      <protection locked="0"/>
    </xf>
    <xf numFmtId="0" fontId="5" fillId="6" borderId="4" xfId="0" applyFont="1" applyFill="1" applyBorder="1" applyAlignment="1" applyProtection="1">
      <alignment horizontal="center" wrapText="1"/>
    </xf>
    <xf numFmtId="0" fontId="5" fillId="6" borderId="5" xfId="0" applyFont="1" applyFill="1" applyBorder="1" applyAlignment="1" applyProtection="1">
      <alignment horizontal="center" wrapText="1"/>
    </xf>
    <xf numFmtId="0" fontId="8" fillId="6" borderId="0" xfId="0" applyFont="1" applyFill="1" applyAlignment="1" applyProtection="1">
      <alignment horizontal="center" vertical="top" textRotation="255" wrapText="1"/>
    </xf>
    <xf numFmtId="0" fontId="8" fillId="10" borderId="0" xfId="0" applyFont="1" applyFill="1" applyAlignment="1" applyProtection="1">
      <alignment horizontal="center" vertical="top" textRotation="255" wrapText="1"/>
    </xf>
    <xf numFmtId="0" fontId="8" fillId="13" borderId="0" xfId="0" applyFont="1" applyFill="1" applyAlignment="1" applyProtection="1">
      <alignment horizontal="center" vertical="top" textRotation="255" wrapText="1"/>
    </xf>
    <xf numFmtId="0" fontId="17" fillId="2" borderId="0" xfId="0" applyFont="1" applyFill="1" applyBorder="1" applyAlignment="1" applyProtection="1">
      <alignment horizontal="left" vertical="top"/>
    </xf>
  </cellXfs>
  <cellStyles count="1">
    <cellStyle name="Standard" xfId="0" builtinId="0"/>
  </cellStyles>
  <dxfs count="14">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248837"/>
      <color rgb="FF1B6729"/>
      <color rgb="FFC0DDF2"/>
      <color rgb="FFF1F1F2"/>
      <color rgb="FFB80000"/>
      <color rgb="FF9DCBEA"/>
      <color rgb="FFDCECF8"/>
      <color rgb="FF662F2B"/>
      <color rgb="FFC10000"/>
      <color rgb="FFE2E6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seitenwaehler" fmlaRange="Basisparameter!$P$12:$P$15" noThreeD="1" sel="1" val="0"/>
</file>

<file path=xl/ctrlProps/ctrlProp2.xml><?xml version="1.0" encoding="utf-8"?>
<formControlPr xmlns="http://schemas.microsoft.com/office/spreadsheetml/2009/9/main" objectType="Drop" dropStyle="combo" dx="16" fmlaLink="gewaehlteSprache" fmlaRange="Basisparameter!$Q$12:$Q$13" noThreeD="1" sel="2" val="0"/>
</file>

<file path=xl/ctrlProps/ctrlProp3.xml><?xml version="1.0" encoding="utf-8"?>
<formControlPr xmlns="http://schemas.microsoft.com/office/spreadsheetml/2009/9/main" objectType="Drop" dropLines="21" dropStyle="combo" dx="16" fmlaLink="aktionswaehler" fmlaRange="Basisparameter!$R$12:$R$32" noThreeD="1" sel="18" val="0"/>
</file>

<file path=xl/ctrlProps/ctrlProp4.xml><?xml version="1.0" encoding="utf-8"?>
<formControlPr xmlns="http://schemas.microsoft.com/office/spreadsheetml/2009/9/main" objectType="Drop" dropStyle="combo" dx="16" fmlaLink="Produktverwaltung!$C$6" fmlaRange="Basisparameter!$P$12:$P$997" noThreeD="1" sel="1" val="0"/>
</file>

<file path=xl/ctrlProps/ctrlProp5.xml><?xml version="1.0" encoding="utf-8"?>
<formControlPr xmlns="http://schemas.microsoft.com/office/spreadsheetml/2009/9/main" objectType="Drop" dropStyle="combo" dx="16" fmlaLink="Produktverwaltung!$B$6" fmlaRange="Basisparameter!$Q$12:$Q$997" noThreeD="1" sel="2" val="0"/>
</file>

<file path=xl/ctrlProps/ctrlProp6.xml><?xml version="1.0" encoding="utf-8"?>
<formControlPr xmlns="http://schemas.microsoft.com/office/spreadsheetml/2009/9/main" objectType="CheckBox" fmlaLink="$P$12" lockText="1" noThreeD="1"/>
</file>

<file path=xl/ctrlProps/ctrlProp7.xml><?xml version="1.0" encoding="utf-8"?>
<formControlPr xmlns="http://schemas.microsoft.com/office/spreadsheetml/2009/9/main" objectType="CheckBox" fmlaLink="$P$13" lockText="1" noThreeD="1"/>
</file>

<file path=xl/ctrlProps/ctrlProp8.xml><?xml version="1.0" encoding="utf-8"?>
<formControlPr xmlns="http://schemas.microsoft.com/office/spreadsheetml/2009/9/main" objectType="CheckBox" fmlaLink="$P$14" lockText="1" noThreeD="1"/>
</file>

<file path=xl/ctrlProps/ctrlProp9.xml><?xml version="1.0" encoding="utf-8"?>
<formControlPr xmlns="http://schemas.microsoft.com/office/spreadsheetml/2009/9/main" objectType="CheckBox" fmlaLink="$P$15" lockText="1" noThreeD="1"/>
</file>

<file path=xl/ctrlProps/ctrlProp10.xml><?xml version="1.0" encoding="utf-8"?>
<formControlPr xmlns="http://schemas.microsoft.com/office/spreadsheetml/2009/9/main" objectType="CheckBox" fmlaLink="$P$16" lockText="1" noThreeD="1"/>
</file>

<file path=xl/ctrlProps/ctrlProp11.xml><?xml version="1.0" encoding="utf-8"?>
<formControlPr xmlns="http://schemas.microsoft.com/office/spreadsheetml/2009/9/main" objectType="CheckBox" checked="Checked" fmlaLink="$P$17" lockText="1" noThreeD="1"/>
</file>

<file path=xl/ctrlProps/ctrlProp12.xml><?xml version="1.0" encoding="utf-8"?>
<formControlPr xmlns="http://schemas.microsoft.com/office/spreadsheetml/2009/9/main" objectType="CheckBox" fmlaLink="$P$18" lockText="1" noThreeD="1"/>
</file>

<file path=xl/ctrlProps/ctrlProp13.xml><?xml version="1.0" encoding="utf-8"?>
<formControlPr xmlns="http://schemas.microsoft.com/office/spreadsheetml/2009/9/main" objectType="CheckBox" fmlaLink="$P$19" lockText="1" noThreeD="1"/>
</file>

<file path=xl/ctrlProps/ctrlProp14.xml><?xml version="1.0" encoding="utf-8"?>
<formControlPr xmlns="http://schemas.microsoft.com/office/spreadsheetml/2009/9/main" objectType="Drop" dropStyle="combo" dx="16" fmlaLink="Produktverwaltung!$C$6" fmlaRange="Basisparameter!$P$12:$P$46" noThreeD="1" sel="1" val="0"/>
</file>

<file path=xl/ctrlProps/ctrlProp15.xml><?xml version="1.0" encoding="utf-8"?>
<formControlPr xmlns="http://schemas.microsoft.com/office/spreadsheetml/2009/9/main" objectType="Drop" dropStyle="combo" dx="16" fmlaLink="Produktverwaltung!$B$6" fmlaRange="Basisparameter!$Q$12:$Q$46" noThreeD="1" sel="2" val="0"/>
</file>

<file path=xl/ctrlProps/ctrlProp16.xml><?xml version="1.0" encoding="utf-8"?>
<formControlPr xmlns="http://schemas.microsoft.com/office/spreadsheetml/2009/9/main" objectType="Drop" dropStyle="combo" dx="16" fmlaLink="Produktverwaltung!$C$6" fmlaRange="Basisparameter!$P$12:$P$46" noThreeD="1" sel="1" val="0"/>
</file>

<file path=xl/ctrlProps/ctrlProp17.xml><?xml version="1.0" encoding="utf-8"?>
<formControlPr xmlns="http://schemas.microsoft.com/office/spreadsheetml/2009/9/main" objectType="Drop" dropStyle="combo" dx="16" fmlaLink="Produktverwaltung!$B$6" fmlaRange="Basisparameter!$Q$12:$Q$4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1076322</xdr:colOff>
      <xdr:row>0</xdr:row>
      <xdr:rowOff>1143000</xdr:rowOff>
    </xdr:to>
    <xdr:pic>
      <xdr:nvPicPr>
        <xdr:cNvPr id="6" name="grafik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428625</xdr:colOff>
          <xdr:row>3</xdr:row>
          <xdr:rowOff>190500</xdr:rowOff>
        </xdr:to>
        <xdr:sp macro="" textlink="">
          <xdr:nvSpPr>
            <xdr:cNvPr id="1152" name="Dropdown_Seitenwaehler01"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428625</xdr:colOff>
          <xdr:row>3</xdr:row>
          <xdr:rowOff>0</xdr:rowOff>
        </xdr:to>
        <xdr:sp macro="" textlink="">
          <xdr:nvSpPr>
            <xdr:cNvPr id="1158" name="Dropdown_Sprachwaehler01"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6</xdr:col>
          <xdr:colOff>714375</xdr:colOff>
          <xdr:row>3</xdr:row>
          <xdr:rowOff>190500</xdr:rowOff>
        </xdr:to>
        <xdr:sp macro="" textlink="">
          <xdr:nvSpPr>
            <xdr:cNvPr id="1168" name="Dropdown_Aktionenwaehler01"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1600197</xdr:colOff>
      <xdr:row>0</xdr:row>
      <xdr:rowOff>1143000</xdr:rowOff>
    </xdr:to>
    <xdr:pic>
      <xdr:nvPicPr>
        <xdr:cNvPr id="4" name="grafik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19050</xdr:rowOff>
        </xdr:to>
        <xdr:sp macro="" textlink="">
          <xdr:nvSpPr>
            <xdr:cNvPr id="164871" name="Dropdown_Seitenwaehler02" hidden="1">
              <a:extLst>
                <a:ext uri="{63B3BB69-23CF-44E3-9099-C40C66FF867C}">
                  <a14:compatExt spid="_x0000_s164871"/>
                </a:ext>
                <a:ext uri="{FF2B5EF4-FFF2-40B4-BE49-F238E27FC236}">
                  <a16:creationId xmlns:a16="http://schemas.microsoft.com/office/drawing/2014/main" id="{00000000-0008-0000-0100-000007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466725</xdr:rowOff>
        </xdr:from>
        <xdr:to>
          <xdr:col>1</xdr:col>
          <xdr:colOff>1323975</xdr:colOff>
          <xdr:row>3</xdr:row>
          <xdr:rowOff>28575</xdr:rowOff>
        </xdr:to>
        <xdr:sp macro="" textlink="">
          <xdr:nvSpPr>
            <xdr:cNvPr id="164872" name="Dropdown_Sprachwaehler02" hidden="1">
              <a:extLst>
                <a:ext uri="{63B3BB69-23CF-44E3-9099-C40C66FF867C}">
                  <a14:compatExt spid="_x0000_s164872"/>
                </a:ext>
                <a:ext uri="{FF2B5EF4-FFF2-40B4-BE49-F238E27FC236}">
                  <a16:creationId xmlns:a16="http://schemas.microsoft.com/office/drawing/2014/main" id="{00000000-0008-0000-0100-000008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11</xdr:row>
          <xdr:rowOff>9525</xdr:rowOff>
        </xdr:from>
        <xdr:to>
          <xdr:col>14</xdr:col>
          <xdr:colOff>1790700</xdr:colOff>
          <xdr:row>12</xdr:row>
          <xdr:rowOff>0</xdr:rowOff>
        </xdr:to>
        <xdr:sp macro="" textlink="">
          <xdr:nvSpPr>
            <xdr:cNvPr id="198435" name="Check Box 23331" hidden="1">
              <a:extLst>
                <a:ext uri="{63B3BB69-23CF-44E3-9099-C40C66FF867C}">
                  <a14:compatExt spid="_x0000_s198435"/>
                </a:ext>
                <a:ext uri="{FF2B5EF4-FFF2-40B4-BE49-F238E27FC236}">
                  <a16:creationId xmlns:a16="http://schemas.microsoft.com/office/drawing/2014/main" id="{00000000-0008-0000-0100-000023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12</xdr:row>
          <xdr:rowOff>9525</xdr:rowOff>
        </xdr:from>
        <xdr:to>
          <xdr:col>14</xdr:col>
          <xdr:colOff>1790700</xdr:colOff>
          <xdr:row>13</xdr:row>
          <xdr:rowOff>0</xdr:rowOff>
        </xdr:to>
        <xdr:sp macro="" textlink="">
          <xdr:nvSpPr>
            <xdr:cNvPr id="198436" name="Check Box 23332" hidden="1">
              <a:extLst>
                <a:ext uri="{63B3BB69-23CF-44E3-9099-C40C66FF867C}">
                  <a14:compatExt spid="_x0000_s198436"/>
                </a:ext>
                <a:ext uri="{FF2B5EF4-FFF2-40B4-BE49-F238E27FC236}">
                  <a16:creationId xmlns:a16="http://schemas.microsoft.com/office/drawing/2014/main" id="{00000000-0008-0000-0100-000024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13</xdr:row>
          <xdr:rowOff>0</xdr:rowOff>
        </xdr:from>
        <xdr:to>
          <xdr:col>14</xdr:col>
          <xdr:colOff>1790700</xdr:colOff>
          <xdr:row>13</xdr:row>
          <xdr:rowOff>219075</xdr:rowOff>
        </xdr:to>
        <xdr:sp macro="" textlink="">
          <xdr:nvSpPr>
            <xdr:cNvPr id="198437" name="Check Box 23333" hidden="1">
              <a:extLst>
                <a:ext uri="{63B3BB69-23CF-44E3-9099-C40C66FF867C}">
                  <a14:compatExt spid="_x0000_s198437"/>
                </a:ext>
                <a:ext uri="{FF2B5EF4-FFF2-40B4-BE49-F238E27FC236}">
                  <a16:creationId xmlns:a16="http://schemas.microsoft.com/office/drawing/2014/main" id="{00000000-0008-0000-0100-000025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14</xdr:row>
          <xdr:rowOff>0</xdr:rowOff>
        </xdr:from>
        <xdr:to>
          <xdr:col>14</xdr:col>
          <xdr:colOff>1790700</xdr:colOff>
          <xdr:row>14</xdr:row>
          <xdr:rowOff>219075</xdr:rowOff>
        </xdr:to>
        <xdr:sp macro="" textlink="">
          <xdr:nvSpPr>
            <xdr:cNvPr id="198438" name="Check Box 23334" hidden="1">
              <a:extLst>
                <a:ext uri="{63B3BB69-23CF-44E3-9099-C40C66FF867C}">
                  <a14:compatExt spid="_x0000_s198438"/>
                </a:ext>
                <a:ext uri="{FF2B5EF4-FFF2-40B4-BE49-F238E27FC236}">
                  <a16:creationId xmlns:a16="http://schemas.microsoft.com/office/drawing/2014/main" id="{00000000-0008-0000-0100-000026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15</xdr:row>
          <xdr:rowOff>0</xdr:rowOff>
        </xdr:from>
        <xdr:to>
          <xdr:col>14</xdr:col>
          <xdr:colOff>1790700</xdr:colOff>
          <xdr:row>15</xdr:row>
          <xdr:rowOff>219075</xdr:rowOff>
        </xdr:to>
        <xdr:sp macro="" textlink="">
          <xdr:nvSpPr>
            <xdr:cNvPr id="198440" name="Check Box 23336" hidden="1">
              <a:extLst>
                <a:ext uri="{63B3BB69-23CF-44E3-9099-C40C66FF867C}">
                  <a14:compatExt spid="_x0000_s198440"/>
                </a:ext>
                <a:ext uri="{FF2B5EF4-FFF2-40B4-BE49-F238E27FC236}">
                  <a16:creationId xmlns:a16="http://schemas.microsoft.com/office/drawing/2014/main" id="{00000000-0008-0000-0100-000028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16</xdr:row>
          <xdr:rowOff>0</xdr:rowOff>
        </xdr:from>
        <xdr:to>
          <xdr:col>14</xdr:col>
          <xdr:colOff>1790700</xdr:colOff>
          <xdr:row>17</xdr:row>
          <xdr:rowOff>9525</xdr:rowOff>
        </xdr:to>
        <xdr:sp macro="" textlink="">
          <xdr:nvSpPr>
            <xdr:cNvPr id="198441" name="Check Box 23337" hidden="1">
              <a:extLst>
                <a:ext uri="{63B3BB69-23CF-44E3-9099-C40C66FF867C}">
                  <a14:compatExt spid="_x0000_s198441"/>
                </a:ext>
                <a:ext uri="{FF2B5EF4-FFF2-40B4-BE49-F238E27FC236}">
                  <a16:creationId xmlns:a16="http://schemas.microsoft.com/office/drawing/2014/main" id="{00000000-0008-0000-0100-000029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17</xdr:row>
          <xdr:rowOff>0</xdr:rowOff>
        </xdr:from>
        <xdr:to>
          <xdr:col>14</xdr:col>
          <xdr:colOff>1790700</xdr:colOff>
          <xdr:row>18</xdr:row>
          <xdr:rowOff>9525</xdr:rowOff>
        </xdr:to>
        <xdr:sp macro="" textlink="">
          <xdr:nvSpPr>
            <xdr:cNvPr id="198442" name="Check Box 23338" hidden="1">
              <a:extLst>
                <a:ext uri="{63B3BB69-23CF-44E3-9099-C40C66FF867C}">
                  <a14:compatExt spid="_x0000_s198442"/>
                </a:ext>
                <a:ext uri="{FF2B5EF4-FFF2-40B4-BE49-F238E27FC236}">
                  <a16:creationId xmlns:a16="http://schemas.microsoft.com/office/drawing/2014/main" id="{00000000-0008-0000-0100-00002A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18</xdr:row>
          <xdr:rowOff>0</xdr:rowOff>
        </xdr:from>
        <xdr:to>
          <xdr:col>14</xdr:col>
          <xdr:colOff>1790700</xdr:colOff>
          <xdr:row>19</xdr:row>
          <xdr:rowOff>9525</xdr:rowOff>
        </xdr:to>
        <xdr:sp macro="" textlink="">
          <xdr:nvSpPr>
            <xdr:cNvPr id="198443" name="Check Box 23339" hidden="1">
              <a:extLst>
                <a:ext uri="{63B3BB69-23CF-44E3-9099-C40C66FF867C}">
                  <a14:compatExt spid="_x0000_s198443"/>
                </a:ext>
                <a:ext uri="{FF2B5EF4-FFF2-40B4-BE49-F238E27FC236}">
                  <a16:creationId xmlns:a16="http://schemas.microsoft.com/office/drawing/2014/main" id="{00000000-0008-0000-0100-00002B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628647</xdr:colOff>
      <xdr:row>0</xdr:row>
      <xdr:rowOff>1143000</xdr:rowOff>
    </xdr:to>
    <xdr:pic>
      <xdr:nvPicPr>
        <xdr:cNvPr id="4" name="grafik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1314450</xdr:colOff>
          <xdr:row>4</xdr:row>
          <xdr:rowOff>0</xdr:rowOff>
        </xdr:to>
        <xdr:sp macro="" textlink="">
          <xdr:nvSpPr>
            <xdr:cNvPr id="3091" name="Dropdown_Seitenwaehler03"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466725</xdr:rowOff>
        </xdr:from>
        <xdr:to>
          <xdr:col>1</xdr:col>
          <xdr:colOff>1314450</xdr:colOff>
          <xdr:row>2</xdr:row>
          <xdr:rowOff>190500</xdr:rowOff>
        </xdr:to>
        <xdr:sp macro="" textlink="">
          <xdr:nvSpPr>
            <xdr:cNvPr id="3092" name="Dropdown_Sprachwaehler03"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447672</xdr:colOff>
      <xdr:row>0</xdr:row>
      <xdr:rowOff>1143000</xdr:rowOff>
    </xdr:to>
    <xdr:pic>
      <xdr:nvPicPr>
        <xdr:cNvPr id="5" name="grafikLogo">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561975</xdr:colOff>
          <xdr:row>4</xdr:row>
          <xdr:rowOff>0</xdr:rowOff>
        </xdr:to>
        <xdr:sp macro="" textlink="">
          <xdr:nvSpPr>
            <xdr:cNvPr id="4097" name="Dropdown_Seitenwaehler04"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466725</xdr:rowOff>
        </xdr:from>
        <xdr:to>
          <xdr:col>2</xdr:col>
          <xdr:colOff>561975</xdr:colOff>
          <xdr:row>2</xdr:row>
          <xdr:rowOff>190500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outlinePr summaryBelow="0"/>
  </sheetPr>
  <dimension ref="A1:FY69"/>
  <sheetViews>
    <sheetView showGridLines="0" tabSelected="1" zoomScaleNormal="100" zoomScaleSheetLayoutView="70" workbookViewId="0">
      <pane ySplit="11" topLeftCell="A12" activePane="bottomLeft" state="frozenSplit"/>
      <selection pane="bottomLeft" activeCell="K1" sqref="K1"/>
    </sheetView>
  </sheetViews>
  <sheetFormatPr baseColWidth="10" defaultColWidth="11.42578125" defaultRowHeight="12.75" x14ac:dyDescent="0.25"/>
  <cols>
    <col min="1" max="1" width="13.42578125" style="71" customWidth="1"/>
    <col min="2" max="4" width="13.42578125" style="70" customWidth="1"/>
    <col min="5" max="5" width="2.7109375" style="164" customWidth="1"/>
    <col min="6" max="6" width="24" style="71" customWidth="1"/>
    <col min="7" max="8" width="19.85546875" style="72" customWidth="1"/>
    <col min="9" max="9" width="10.5703125" style="72" customWidth="1"/>
    <col min="10" max="11" width="19.7109375" style="72" customWidth="1"/>
    <col min="12" max="12" width="2.7109375" style="164" customWidth="1"/>
    <col min="13" max="13" width="16.85546875" style="167" customWidth="1"/>
    <col min="14" max="51" width="17.140625" style="72" customWidth="1"/>
    <col min="52" max="52" width="34.7109375" style="72" customWidth="1"/>
    <col min="53" max="53" width="2.7109375" style="164" customWidth="1"/>
    <col min="54" max="54" width="41.42578125" style="72" customWidth="1"/>
    <col min="55" max="55" width="31.140625" style="72" customWidth="1"/>
    <col min="56" max="56" width="34.5703125" style="72" bestFit="1" customWidth="1"/>
    <col min="57" max="57" width="20.85546875" style="72" customWidth="1"/>
    <col min="58" max="58" width="2.7109375" style="164" customWidth="1"/>
    <col min="59" max="59" width="20.85546875" style="83" customWidth="1"/>
    <col min="60" max="60" width="19" style="73" bestFit="1" customWidth="1"/>
    <col min="61" max="61" width="2.7109375" style="164" customWidth="1"/>
    <col min="62" max="62" width="9.85546875" style="77" customWidth="1"/>
    <col min="63" max="63" width="23.42578125" style="73" customWidth="1"/>
    <col min="64" max="64" width="35.140625" style="73" customWidth="1"/>
    <col min="65" max="65" width="12.42578125" style="77" customWidth="1"/>
    <col min="66" max="66" width="19" style="73" customWidth="1"/>
    <col min="67" max="67" width="31.28515625" style="73" customWidth="1"/>
    <col min="68" max="68" width="2.7109375" style="164" customWidth="1"/>
    <col min="69" max="69" width="14.140625" style="83" bestFit="1" customWidth="1"/>
    <col min="70" max="70" width="23.140625" style="73" bestFit="1" customWidth="1"/>
    <col min="71" max="71" width="10.7109375" style="77" customWidth="1"/>
    <col min="72" max="72" width="2.7109375" style="164" hidden="1" customWidth="1"/>
    <col min="73" max="74" width="17" style="77" hidden="1" customWidth="1"/>
    <col min="75" max="75" width="14.140625" style="83" hidden="1" customWidth="1"/>
    <col min="76" max="76" width="17.42578125" style="73" hidden="1" customWidth="1"/>
    <col min="77" max="77" width="13.28515625" style="77" hidden="1" customWidth="1"/>
    <col min="78" max="78" width="23.42578125" style="73" hidden="1" customWidth="1"/>
    <col min="79" max="79" width="35.140625" style="73" hidden="1" customWidth="1"/>
    <col min="80" max="80" width="13.28515625" style="77" hidden="1" customWidth="1"/>
    <col min="81" max="81" width="19" style="73" hidden="1" customWidth="1"/>
    <col min="82" max="82" width="31.28515625" style="73" hidden="1" customWidth="1"/>
    <col min="83" max="83" width="14.140625" style="83" hidden="1" customWidth="1"/>
    <col min="84" max="84" width="17.42578125" style="73" hidden="1" customWidth="1"/>
    <col min="85" max="85" width="13.28515625" style="77" hidden="1" customWidth="1"/>
    <col min="86" max="86" width="2.7109375" style="164" hidden="1" customWidth="1"/>
    <col min="87" max="88" width="17" style="77" hidden="1" customWidth="1"/>
    <col min="89" max="89" width="14.140625" style="83" hidden="1" customWidth="1"/>
    <col min="90" max="90" width="17.42578125" style="73" hidden="1" customWidth="1"/>
    <col min="91" max="91" width="13.28515625" style="77" hidden="1" customWidth="1"/>
    <col min="92" max="92" width="23.42578125" style="73" hidden="1" customWidth="1"/>
    <col min="93" max="93" width="35.140625" style="73" hidden="1" customWidth="1"/>
    <col min="94" max="94" width="13.28515625" style="77" hidden="1" customWidth="1"/>
    <col min="95" max="95" width="19" style="73" hidden="1" customWidth="1"/>
    <col min="96" max="96" width="31.28515625" style="73" hidden="1" customWidth="1"/>
    <col min="97" max="97" width="14.140625" style="83" hidden="1" customWidth="1"/>
    <col min="98" max="98" width="17.42578125" style="73" hidden="1" customWidth="1"/>
    <col min="99" max="99" width="13.28515625" style="77" hidden="1" customWidth="1"/>
    <col min="100" max="100" width="2.7109375" style="164" hidden="1" customWidth="1"/>
    <col min="101" max="102" width="17" style="77" hidden="1" customWidth="1"/>
    <col min="103" max="103" width="14.140625" style="83" hidden="1" customWidth="1"/>
    <col min="104" max="104" width="17.42578125" style="73" hidden="1" customWidth="1"/>
    <col min="105" max="105" width="13.28515625" style="77" hidden="1" customWidth="1"/>
    <col min="106" max="106" width="23.42578125" style="73" hidden="1" customWidth="1"/>
    <col min="107" max="107" width="35.140625" style="73" hidden="1" customWidth="1"/>
    <col min="108" max="108" width="13.28515625" style="77" hidden="1" customWidth="1"/>
    <col min="109" max="109" width="19" style="73" hidden="1" customWidth="1"/>
    <col min="110" max="110" width="31.28515625" style="73" hidden="1" customWidth="1"/>
    <col min="111" max="111" width="14.140625" style="83" hidden="1" customWidth="1"/>
    <col min="112" max="112" width="17.42578125" style="73" hidden="1" customWidth="1"/>
    <col min="113" max="113" width="13.28515625" style="77" hidden="1" customWidth="1"/>
    <col min="114" max="114" width="2.7109375" style="164" hidden="1" customWidth="1"/>
    <col min="115" max="116" width="17" style="77" hidden="1" customWidth="1"/>
    <col min="117" max="117" width="14.140625" style="83" hidden="1" customWidth="1"/>
    <col min="118" max="118" width="17.42578125" style="73" hidden="1" customWidth="1"/>
    <col min="119" max="119" width="13.28515625" style="77" hidden="1" customWidth="1"/>
    <col min="120" max="120" width="23.42578125" style="73" hidden="1" customWidth="1"/>
    <col min="121" max="121" width="35.140625" style="73" hidden="1" customWidth="1"/>
    <col min="122" max="122" width="13.28515625" style="77" hidden="1" customWidth="1"/>
    <col min="123" max="123" width="19" style="73" hidden="1" customWidth="1"/>
    <col min="124" max="124" width="31.28515625" style="73" hidden="1" customWidth="1"/>
    <col min="125" max="125" width="14.140625" style="83" hidden="1" customWidth="1"/>
    <col min="126" max="126" width="17.42578125" style="73" hidden="1" customWidth="1"/>
    <col min="127" max="127" width="13.28515625" style="77" hidden="1" customWidth="1"/>
    <col min="128" max="128" width="2.7109375" style="164" hidden="1" customWidth="1"/>
    <col min="129" max="130" width="17" style="77" hidden="1" customWidth="1"/>
    <col min="131" max="131" width="14.140625" style="83" hidden="1" customWidth="1"/>
    <col min="132" max="132" width="17.42578125" style="73" hidden="1" customWidth="1"/>
    <col min="133" max="133" width="13.28515625" style="77" hidden="1" customWidth="1"/>
    <col min="134" max="134" width="23.42578125" style="73" hidden="1" customWidth="1"/>
    <col min="135" max="135" width="35.140625" style="73" hidden="1" customWidth="1"/>
    <col min="136" max="136" width="13.28515625" style="77" hidden="1" customWidth="1"/>
    <col min="137" max="137" width="19" style="73" hidden="1" customWidth="1"/>
    <col min="138" max="138" width="31.28515625" style="73" hidden="1" customWidth="1"/>
    <col min="139" max="139" width="14.140625" style="83" hidden="1" customWidth="1"/>
    <col min="140" max="140" width="17.42578125" style="73" hidden="1" customWidth="1"/>
    <col min="141" max="141" width="13.28515625" style="77" hidden="1" customWidth="1"/>
    <col min="142" max="142" width="2.7109375" style="164" customWidth="1"/>
    <col min="143" max="143" width="8" style="72" bestFit="1" customWidth="1"/>
    <col min="144" max="144" width="7.42578125" style="74" customWidth="1"/>
    <col min="145" max="145" width="22.28515625" style="73" customWidth="1"/>
    <col min="146" max="146" width="11.42578125" style="72" bestFit="1" customWidth="1"/>
    <col min="147" max="147" width="17" style="72" bestFit="1" customWidth="1"/>
    <col min="148" max="148" width="19.85546875" style="75" customWidth="1"/>
    <col min="149" max="149" width="14" style="76" customWidth="1"/>
    <col min="150" max="150" width="9.85546875" style="77" customWidth="1"/>
    <col min="151" max="151" width="9.28515625" style="77" bestFit="1" customWidth="1"/>
    <col min="152" max="152" width="21.28515625" style="78" bestFit="1" customWidth="1"/>
    <col min="153" max="154" width="11.42578125" style="72" bestFit="1" customWidth="1"/>
    <col min="155" max="155" width="12.140625" style="72" customWidth="1"/>
    <col min="156" max="156" width="22.42578125" style="72" customWidth="1"/>
    <col min="157" max="157" width="11.42578125" style="72"/>
    <col min="158" max="159" width="16.28515625" style="72" customWidth="1"/>
    <col min="160" max="160" width="2.7109375" style="164" hidden="1" customWidth="1"/>
    <col min="161" max="163" width="28" style="72" hidden="1" customWidth="1"/>
    <col min="164" max="170" width="28" style="71" hidden="1" customWidth="1"/>
    <col min="171" max="171" width="2.7109375" style="164" hidden="1" customWidth="1"/>
    <col min="172" max="174" width="28" style="72" hidden="1" customWidth="1"/>
    <col min="175" max="181" width="28" style="71" hidden="1" customWidth="1"/>
    <col min="182" max="16384" width="11.42578125" style="71"/>
  </cols>
  <sheetData>
    <row r="1" spans="1:181" s="5" customFormat="1" ht="111" customHeight="1" x14ac:dyDescent="0.25">
      <c r="E1" s="156"/>
      <c r="H1" s="56"/>
      <c r="L1" s="156"/>
      <c r="M1" s="80"/>
      <c r="BA1" s="156"/>
      <c r="BF1" s="156"/>
      <c r="BG1" s="13"/>
      <c r="BH1" s="11"/>
      <c r="BI1" s="156"/>
      <c r="BJ1" s="11"/>
      <c r="BK1" s="11"/>
      <c r="BL1" s="11"/>
      <c r="BM1" s="11"/>
      <c r="BN1" s="11"/>
      <c r="BO1" s="11"/>
      <c r="BP1" s="156"/>
      <c r="BQ1" s="13"/>
      <c r="BR1" s="11"/>
      <c r="BS1" s="11"/>
      <c r="BT1" s="156"/>
      <c r="BU1" s="11"/>
      <c r="BV1" s="11"/>
      <c r="BW1" s="13"/>
      <c r="BX1" s="11"/>
      <c r="BY1" s="11"/>
      <c r="BZ1" s="11"/>
      <c r="CA1" s="11"/>
      <c r="CB1" s="11"/>
      <c r="CC1" s="11"/>
      <c r="CD1" s="11"/>
      <c r="CE1" s="13"/>
      <c r="CF1" s="11"/>
      <c r="CG1" s="11"/>
      <c r="CH1" s="156"/>
      <c r="CI1" s="11"/>
      <c r="CJ1" s="11"/>
      <c r="CK1" s="13"/>
      <c r="CL1" s="11"/>
      <c r="CM1" s="11"/>
      <c r="CN1" s="11"/>
      <c r="CO1" s="11"/>
      <c r="CP1" s="11"/>
      <c r="CQ1" s="11"/>
      <c r="CR1" s="11"/>
      <c r="CS1" s="13"/>
      <c r="CT1" s="11"/>
      <c r="CU1" s="11"/>
      <c r="CV1" s="156"/>
      <c r="CW1" s="11"/>
      <c r="CX1" s="11"/>
      <c r="CY1" s="13"/>
      <c r="CZ1" s="11"/>
      <c r="DA1" s="11"/>
      <c r="DB1" s="11"/>
      <c r="DC1" s="11"/>
      <c r="DD1" s="11"/>
      <c r="DE1" s="11"/>
      <c r="DF1" s="11"/>
      <c r="DG1" s="13"/>
      <c r="DH1" s="11"/>
      <c r="DI1" s="11"/>
      <c r="DJ1" s="156"/>
      <c r="DK1" s="11"/>
      <c r="DL1" s="11"/>
      <c r="DM1" s="13"/>
      <c r="DN1" s="11"/>
      <c r="DO1" s="11"/>
      <c r="DP1" s="11"/>
      <c r="DQ1" s="11"/>
      <c r="DR1" s="11"/>
      <c r="DS1" s="11"/>
      <c r="DT1" s="11"/>
      <c r="DU1" s="13"/>
      <c r="DV1" s="11"/>
      <c r="DW1" s="11"/>
      <c r="DX1" s="156"/>
      <c r="DY1" s="11"/>
      <c r="DZ1" s="11"/>
      <c r="EA1" s="13"/>
      <c r="EB1" s="11"/>
      <c r="EC1" s="11"/>
      <c r="ED1" s="11"/>
      <c r="EE1" s="11"/>
      <c r="EF1" s="11"/>
      <c r="EG1" s="11"/>
      <c r="EH1" s="11"/>
      <c r="EI1" s="13"/>
      <c r="EJ1" s="11"/>
      <c r="EK1" s="11"/>
      <c r="EL1" s="156"/>
      <c r="EN1" s="15"/>
      <c r="EO1" s="11"/>
      <c r="ER1" s="19"/>
      <c r="ES1" s="17"/>
      <c r="ET1" s="46"/>
      <c r="EU1" s="46"/>
      <c r="EV1" s="46"/>
      <c r="EW1" s="56"/>
      <c r="EX1" s="56"/>
      <c r="FD1" s="156"/>
      <c r="FO1" s="156"/>
    </row>
    <row r="2" spans="1:181" s="5" customFormat="1" ht="37.5" customHeight="1" x14ac:dyDescent="0.25">
      <c r="A2" s="6" t="str">
        <f>mehrsprachigkeitBegriffsrückgabe(gewählteSpracheZurückgeben(),"MERCONIS PRODUCT MANAGER: Your products")</f>
        <v>MERCONIS PRODUCT MANAGER: Ihre Produkte</v>
      </c>
      <c r="E2" s="156"/>
      <c r="H2" s="56"/>
      <c r="J2" s="177" t="str">
        <f>mehrsprachigkeitBegriffsrückgabe(gewählteSpracheZurückgeben(),"Please enable macros!")</f>
        <v>Bitte Makros aktivieren!</v>
      </c>
      <c r="K2" s="131"/>
      <c r="L2" s="156"/>
      <c r="M2" s="80"/>
      <c r="AZ2" s="91"/>
      <c r="BA2" s="156"/>
      <c r="BF2" s="156"/>
      <c r="BG2" s="13"/>
      <c r="BH2" s="11"/>
      <c r="BI2" s="156"/>
      <c r="BJ2" s="11"/>
      <c r="BK2" s="11"/>
      <c r="BL2" s="11"/>
      <c r="BM2" s="11"/>
      <c r="BN2" s="11"/>
      <c r="BO2" s="11"/>
      <c r="BP2" s="156"/>
      <c r="BQ2" s="13"/>
      <c r="BR2" s="11"/>
      <c r="BS2" s="11"/>
      <c r="BT2" s="156"/>
      <c r="BU2" s="11"/>
      <c r="BV2" s="11"/>
      <c r="BW2" s="13"/>
      <c r="BX2" s="11"/>
      <c r="BY2" s="11"/>
      <c r="BZ2" s="11"/>
      <c r="CA2" s="11"/>
      <c r="CB2" s="11"/>
      <c r="CC2" s="11"/>
      <c r="CD2" s="11"/>
      <c r="CE2" s="13"/>
      <c r="CF2" s="11"/>
      <c r="CG2" s="11"/>
      <c r="CH2" s="156"/>
      <c r="CI2" s="11"/>
      <c r="CJ2" s="11"/>
      <c r="CK2" s="13"/>
      <c r="CL2" s="11"/>
      <c r="CM2" s="11"/>
      <c r="CN2" s="11"/>
      <c r="CO2" s="11"/>
      <c r="CP2" s="11"/>
      <c r="CQ2" s="11"/>
      <c r="CR2" s="11"/>
      <c r="CS2" s="13"/>
      <c r="CT2" s="11"/>
      <c r="CU2" s="11"/>
      <c r="CV2" s="156"/>
      <c r="CW2" s="11"/>
      <c r="CX2" s="11"/>
      <c r="CY2" s="13"/>
      <c r="CZ2" s="11"/>
      <c r="DA2" s="11"/>
      <c r="DB2" s="11"/>
      <c r="DC2" s="11"/>
      <c r="DD2" s="11"/>
      <c r="DE2" s="11"/>
      <c r="DF2" s="11"/>
      <c r="DG2" s="13"/>
      <c r="DH2" s="11"/>
      <c r="DI2" s="11"/>
      <c r="DJ2" s="156"/>
      <c r="DK2" s="11"/>
      <c r="DL2" s="11"/>
      <c r="DM2" s="13"/>
      <c r="DN2" s="11"/>
      <c r="DO2" s="11"/>
      <c r="DP2" s="11"/>
      <c r="DQ2" s="11"/>
      <c r="DR2" s="11"/>
      <c r="DS2" s="11"/>
      <c r="DT2" s="11"/>
      <c r="DU2" s="13"/>
      <c r="DV2" s="11"/>
      <c r="DW2" s="11"/>
      <c r="DX2" s="156"/>
      <c r="DY2" s="11"/>
      <c r="DZ2" s="11"/>
      <c r="EA2" s="13"/>
      <c r="EB2" s="11"/>
      <c r="EC2" s="11"/>
      <c r="ED2" s="11"/>
      <c r="EE2" s="11"/>
      <c r="EF2" s="11"/>
      <c r="EG2" s="11"/>
      <c r="EH2" s="11"/>
      <c r="EI2" s="13"/>
      <c r="EJ2" s="11"/>
      <c r="EK2" s="11"/>
      <c r="EL2" s="156"/>
      <c r="EN2" s="15"/>
      <c r="EO2" s="11"/>
      <c r="ER2" s="19"/>
      <c r="ES2" s="17"/>
      <c r="ET2" s="46"/>
      <c r="EU2" s="46"/>
      <c r="EV2" s="46"/>
      <c r="EW2" s="56"/>
      <c r="EX2" s="56"/>
      <c r="FD2" s="156"/>
      <c r="FO2" s="156"/>
    </row>
    <row r="3" spans="1:181" s="5" customFormat="1" ht="15.75" customHeight="1" x14ac:dyDescent="0.15">
      <c r="A3" s="140" t="str">
        <f>mehrsprachigkeitBegriffsrückgabe(gewählteSpracheZurückgeben(),"Language")</f>
        <v>Sprache</v>
      </c>
      <c r="E3" s="156"/>
      <c r="F3" s="82" t="b">
        <v>0</v>
      </c>
      <c r="G3" s="81"/>
      <c r="H3" s="79"/>
      <c r="I3" s="80"/>
      <c r="J3" s="81" t="b">
        <v>0</v>
      </c>
      <c r="K3" s="81"/>
      <c r="L3" s="156"/>
      <c r="M3" s="80"/>
      <c r="BA3" s="156"/>
      <c r="BF3" s="156"/>
      <c r="BG3" s="13"/>
      <c r="BH3" s="11"/>
      <c r="BI3" s="156"/>
      <c r="BJ3" s="11"/>
      <c r="BK3" s="11"/>
      <c r="BL3" s="11"/>
      <c r="BM3" s="11"/>
      <c r="BN3" s="11"/>
      <c r="BO3" s="11"/>
      <c r="BP3" s="156"/>
      <c r="BQ3" s="13"/>
      <c r="BR3" s="11"/>
      <c r="BS3" s="11"/>
      <c r="BT3" s="156"/>
      <c r="BU3" s="11"/>
      <c r="BV3" s="11"/>
      <c r="BW3" s="13"/>
      <c r="BX3" s="11"/>
      <c r="BY3" s="11"/>
      <c r="BZ3" s="11"/>
      <c r="CA3" s="11"/>
      <c r="CB3" s="11"/>
      <c r="CC3" s="11"/>
      <c r="CD3" s="11"/>
      <c r="CE3" s="13"/>
      <c r="CF3" s="11"/>
      <c r="CG3" s="11"/>
      <c r="CH3" s="156"/>
      <c r="CI3" s="11"/>
      <c r="CJ3" s="11"/>
      <c r="CK3" s="13"/>
      <c r="CL3" s="11"/>
      <c r="CM3" s="11"/>
      <c r="CN3" s="11"/>
      <c r="CO3" s="11"/>
      <c r="CP3" s="11"/>
      <c r="CQ3" s="11"/>
      <c r="CR3" s="11"/>
      <c r="CS3" s="13"/>
      <c r="CT3" s="11"/>
      <c r="CU3" s="11"/>
      <c r="CV3" s="156"/>
      <c r="CW3" s="11"/>
      <c r="CX3" s="11"/>
      <c r="CY3" s="13"/>
      <c r="CZ3" s="11"/>
      <c r="DA3" s="11"/>
      <c r="DB3" s="11"/>
      <c r="DC3" s="11"/>
      <c r="DD3" s="11"/>
      <c r="DE3" s="11"/>
      <c r="DF3" s="11"/>
      <c r="DG3" s="13"/>
      <c r="DH3" s="11"/>
      <c r="DI3" s="11"/>
      <c r="DJ3" s="156"/>
      <c r="DK3" s="11"/>
      <c r="DL3" s="11"/>
      <c r="DM3" s="13"/>
      <c r="DN3" s="11"/>
      <c r="DO3" s="11"/>
      <c r="DP3" s="11"/>
      <c r="DQ3" s="11"/>
      <c r="DR3" s="11"/>
      <c r="DS3" s="11"/>
      <c r="DT3" s="11"/>
      <c r="DU3" s="13"/>
      <c r="DV3" s="11"/>
      <c r="DW3" s="11"/>
      <c r="DX3" s="156"/>
      <c r="DY3" s="11"/>
      <c r="DZ3" s="11"/>
      <c r="EA3" s="13"/>
      <c r="EB3" s="11"/>
      <c r="EC3" s="11"/>
      <c r="ED3" s="11"/>
      <c r="EE3" s="11"/>
      <c r="EF3" s="11"/>
      <c r="EG3" s="11"/>
      <c r="EH3" s="11"/>
      <c r="EI3" s="13"/>
      <c r="EJ3" s="11"/>
      <c r="EK3" s="11"/>
      <c r="EL3" s="156"/>
      <c r="EN3" s="15"/>
      <c r="EO3" s="11"/>
      <c r="ER3" s="19"/>
      <c r="ES3" s="17"/>
      <c r="ET3" s="46"/>
      <c r="EU3" s="46"/>
      <c r="EV3" s="46"/>
      <c r="EW3" s="56"/>
      <c r="EX3" s="56"/>
      <c r="FD3" s="156"/>
      <c r="FO3" s="156"/>
    </row>
    <row r="4" spans="1:181" s="132" customFormat="1" ht="16.5" customHeight="1" x14ac:dyDescent="0.25">
      <c r="A4" s="140" t="str">
        <f>mehrsprachigkeitBegriffsrückgabe(gewählteSpracheZurückgeben(),"Go to page")</f>
        <v>Gehe zu Seite</v>
      </c>
      <c r="D4" s="140" t="str">
        <f>mehrsprachigkeitBegriffsrückgabe(gewählteSpracheZurückgeben(),"Action")</f>
        <v>Aktion</v>
      </c>
      <c r="E4" s="157"/>
      <c r="G4" s="132" t="b">
        <v>1</v>
      </c>
      <c r="H4" s="133"/>
      <c r="J4" s="90"/>
      <c r="K4" s="90"/>
      <c r="L4" s="157"/>
      <c r="M4" s="170"/>
      <c r="BA4" s="157"/>
      <c r="BF4" s="157"/>
      <c r="BG4" s="134"/>
      <c r="BH4" s="135"/>
      <c r="BI4" s="157"/>
      <c r="BJ4" s="135"/>
      <c r="BK4" s="135"/>
      <c r="BL4" s="135"/>
      <c r="BM4" s="135"/>
      <c r="BN4" s="135"/>
      <c r="BO4" s="135"/>
      <c r="BP4" s="157"/>
      <c r="BQ4" s="134"/>
      <c r="BR4" s="135"/>
      <c r="BS4" s="135"/>
      <c r="BT4" s="157"/>
      <c r="BU4" s="135"/>
      <c r="BV4" s="135"/>
      <c r="BW4" s="134"/>
      <c r="BX4" s="135"/>
      <c r="BY4" s="135"/>
      <c r="BZ4" s="135"/>
      <c r="CA4" s="135"/>
      <c r="CB4" s="135"/>
      <c r="CC4" s="135"/>
      <c r="CD4" s="135"/>
      <c r="CE4" s="134"/>
      <c r="CF4" s="135"/>
      <c r="CG4" s="135"/>
      <c r="CH4" s="157"/>
      <c r="CI4" s="135"/>
      <c r="CJ4" s="135"/>
      <c r="CK4" s="134"/>
      <c r="CL4" s="135"/>
      <c r="CM4" s="135"/>
      <c r="CN4" s="135"/>
      <c r="CO4" s="135"/>
      <c r="CP4" s="135"/>
      <c r="CQ4" s="135"/>
      <c r="CR4" s="135"/>
      <c r="CS4" s="134"/>
      <c r="CT4" s="135"/>
      <c r="CU4" s="135"/>
      <c r="CV4" s="157"/>
      <c r="CW4" s="135"/>
      <c r="CX4" s="135"/>
      <c r="CY4" s="134"/>
      <c r="CZ4" s="135"/>
      <c r="DA4" s="135"/>
      <c r="DB4" s="135"/>
      <c r="DC4" s="135"/>
      <c r="DD4" s="135"/>
      <c r="DE4" s="135"/>
      <c r="DF4" s="135"/>
      <c r="DG4" s="134"/>
      <c r="DH4" s="135"/>
      <c r="DI4" s="135"/>
      <c r="DJ4" s="157"/>
      <c r="DK4" s="135"/>
      <c r="DL4" s="135"/>
      <c r="DM4" s="134"/>
      <c r="DN4" s="135"/>
      <c r="DO4" s="135"/>
      <c r="DP4" s="135"/>
      <c r="DQ4" s="135"/>
      <c r="DR4" s="135"/>
      <c r="DS4" s="135"/>
      <c r="DT4" s="135"/>
      <c r="DU4" s="134"/>
      <c r="DV4" s="135"/>
      <c r="DW4" s="135"/>
      <c r="DX4" s="157"/>
      <c r="DY4" s="135"/>
      <c r="DZ4" s="135"/>
      <c r="EA4" s="134"/>
      <c r="EB4" s="135"/>
      <c r="EC4" s="135"/>
      <c r="ED4" s="135"/>
      <c r="EE4" s="135"/>
      <c r="EF4" s="135"/>
      <c r="EG4" s="135"/>
      <c r="EH4" s="135"/>
      <c r="EI4" s="134"/>
      <c r="EJ4" s="135"/>
      <c r="EK4" s="135"/>
      <c r="EL4" s="157"/>
      <c r="EN4" s="136"/>
      <c r="EO4" s="135"/>
      <c r="ER4" s="137"/>
      <c r="ES4" s="138"/>
      <c r="ET4" s="139"/>
      <c r="EU4" s="139"/>
      <c r="EV4" s="139"/>
      <c r="EW4" s="133"/>
      <c r="EX4" s="133"/>
      <c r="FD4" s="157"/>
      <c r="FO4" s="157"/>
    </row>
    <row r="5" spans="1:181" s="7" customFormat="1" ht="6" customHeight="1" x14ac:dyDescent="0.25">
      <c r="E5" s="158"/>
      <c r="H5" s="57"/>
      <c r="L5" s="158"/>
      <c r="M5" s="165"/>
      <c r="BA5" s="158"/>
      <c r="BF5" s="158"/>
      <c r="BG5" s="14"/>
      <c r="BH5" s="12"/>
      <c r="BI5" s="158"/>
      <c r="BJ5" s="12"/>
      <c r="BK5" s="12"/>
      <c r="BL5" s="12"/>
      <c r="BM5" s="12"/>
      <c r="BN5" s="12"/>
      <c r="BO5" s="12"/>
      <c r="BP5" s="158"/>
      <c r="BQ5" s="14"/>
      <c r="BR5" s="12"/>
      <c r="BS5" s="12"/>
      <c r="BT5" s="158"/>
      <c r="BU5" s="12"/>
      <c r="BV5" s="12"/>
      <c r="BW5" s="14"/>
      <c r="BX5" s="12"/>
      <c r="BY5" s="12"/>
      <c r="BZ5" s="12"/>
      <c r="CA5" s="12"/>
      <c r="CB5" s="12"/>
      <c r="CC5" s="12"/>
      <c r="CD5" s="12"/>
      <c r="CE5" s="14"/>
      <c r="CF5" s="12"/>
      <c r="CG5" s="12"/>
      <c r="CH5" s="158"/>
      <c r="CI5" s="12"/>
      <c r="CJ5" s="12"/>
      <c r="CK5" s="14"/>
      <c r="CL5" s="12"/>
      <c r="CM5" s="12"/>
      <c r="CN5" s="12"/>
      <c r="CO5" s="12"/>
      <c r="CP5" s="12"/>
      <c r="CQ5" s="12"/>
      <c r="CR5" s="12"/>
      <c r="CS5" s="14"/>
      <c r="CT5" s="12"/>
      <c r="CU5" s="12"/>
      <c r="CV5" s="158"/>
      <c r="CW5" s="12"/>
      <c r="CX5" s="12"/>
      <c r="CY5" s="14"/>
      <c r="CZ5" s="12"/>
      <c r="DA5" s="12"/>
      <c r="DB5" s="12"/>
      <c r="DC5" s="12"/>
      <c r="DD5" s="12"/>
      <c r="DE5" s="12"/>
      <c r="DF5" s="12"/>
      <c r="DG5" s="14"/>
      <c r="DH5" s="12"/>
      <c r="DI5" s="12"/>
      <c r="DJ5" s="158"/>
      <c r="DK5" s="12"/>
      <c r="DL5" s="12"/>
      <c r="DM5" s="14"/>
      <c r="DN5" s="12"/>
      <c r="DO5" s="12"/>
      <c r="DP5" s="12"/>
      <c r="DQ5" s="12"/>
      <c r="DR5" s="12"/>
      <c r="DS5" s="12"/>
      <c r="DT5" s="12"/>
      <c r="DU5" s="14"/>
      <c r="DV5" s="12"/>
      <c r="DW5" s="12"/>
      <c r="DX5" s="158"/>
      <c r="DY5" s="12"/>
      <c r="DZ5" s="12"/>
      <c r="EA5" s="14"/>
      <c r="EB5" s="12"/>
      <c r="EC5" s="12"/>
      <c r="ED5" s="12"/>
      <c r="EE5" s="12"/>
      <c r="EF5" s="12"/>
      <c r="EG5" s="12"/>
      <c r="EH5" s="12"/>
      <c r="EI5" s="14"/>
      <c r="EJ5" s="12"/>
      <c r="EK5" s="12"/>
      <c r="EL5" s="158"/>
      <c r="EN5" s="16"/>
      <c r="EO5" s="12"/>
      <c r="ER5" s="20"/>
      <c r="ES5" s="18"/>
      <c r="ET5" s="84"/>
      <c r="EU5" s="84"/>
      <c r="EV5" s="47"/>
      <c r="EW5" s="57"/>
      <c r="EX5" s="57"/>
      <c r="FD5" s="158"/>
      <c r="FO5" s="158"/>
    </row>
    <row r="6" spans="1:181" s="95" customFormat="1" ht="20.25" hidden="1" customHeight="1" x14ac:dyDescent="0.25">
      <c r="B6" s="95">
        <v>2</v>
      </c>
      <c r="C6" s="95">
        <v>1</v>
      </c>
      <c r="D6" s="95">
        <v>18</v>
      </c>
      <c r="E6" s="159"/>
      <c r="F6" s="95" t="b">
        <v>1</v>
      </c>
      <c r="G6" s="95" t="b">
        <v>0</v>
      </c>
      <c r="H6" s="95" t="b">
        <v>0</v>
      </c>
      <c r="I6" s="95" t="str">
        <f t="array" aca="1" ref="I6" ca="1">IF($F6&lt;&gt;"",IF(OR($F6=mehrsprachigkeitBegriffsrückgabe(gewählteSpracheZurückgeben(), "Variant"),$F6=mehrsprachigkeitBegriffsrückgabe(gewählteSpracheZurückgeben(), "Product (foreign language)")),INDIRECT(ADDRESS(10+(MATCH(2,1/($F6:$F$11=mehrsprachigkeitBegriffsrückgabe(gewählteSpracheZurückgeben(), "Product")))),6)),IF($F6=mehrsprachigkeitBegriffsrückgabe(gewählteSpracheZurückgeben(), "Variant (foreign language)"),INDIRECT(ADDRESS(10+(MATCH(2,1/($F6:$F$11=mehrsprachigkeitBegriffsrückgabe(gewählteSpracheZurückgeben(), "Variant")))),6)),"")),"")</f>
        <v/>
      </c>
      <c r="J6" s="95" t="s">
        <v>172</v>
      </c>
      <c r="L6" s="159"/>
      <c r="N6" s="95" t="b">
        <v>1</v>
      </c>
      <c r="O6" s="95">
        <v>0</v>
      </c>
      <c r="P6" s="95" t="b">
        <v>1</v>
      </c>
      <c r="Q6" s="95" t="b">
        <v>1</v>
      </c>
      <c r="BA6" s="159"/>
      <c r="BF6" s="159"/>
      <c r="BG6" s="97"/>
      <c r="BH6" s="96"/>
      <c r="BI6" s="159"/>
      <c r="BJ6" s="96"/>
      <c r="BK6" s="96"/>
      <c r="BL6" s="96"/>
      <c r="BM6" s="96"/>
      <c r="BN6" s="96"/>
      <c r="BO6" s="96"/>
      <c r="BP6" s="159"/>
      <c r="BQ6" s="97"/>
      <c r="BR6" s="96"/>
      <c r="BS6" s="96"/>
      <c r="BT6" s="159"/>
      <c r="BU6" s="96"/>
      <c r="BV6" s="96"/>
      <c r="BW6" s="97"/>
      <c r="BX6" s="96"/>
      <c r="BY6" s="96"/>
      <c r="BZ6" s="96"/>
      <c r="CA6" s="96"/>
      <c r="CB6" s="96"/>
      <c r="CC6" s="96"/>
      <c r="CD6" s="96"/>
      <c r="CE6" s="97"/>
      <c r="CF6" s="96"/>
      <c r="CG6" s="96"/>
      <c r="CH6" s="159"/>
      <c r="CI6" s="96"/>
      <c r="CJ6" s="96"/>
      <c r="CK6" s="97"/>
      <c r="CL6" s="96"/>
      <c r="CM6" s="96"/>
      <c r="CN6" s="96"/>
      <c r="CO6" s="96"/>
      <c r="CP6" s="96"/>
      <c r="CQ6" s="96"/>
      <c r="CR6" s="96"/>
      <c r="CS6" s="97"/>
      <c r="CT6" s="96"/>
      <c r="CU6" s="96"/>
      <c r="CV6" s="159"/>
      <c r="CW6" s="96"/>
      <c r="CX6" s="96"/>
      <c r="CY6" s="97"/>
      <c r="CZ6" s="96"/>
      <c r="DA6" s="96"/>
      <c r="DB6" s="96"/>
      <c r="DC6" s="96"/>
      <c r="DD6" s="96"/>
      <c r="DE6" s="96"/>
      <c r="DF6" s="96"/>
      <c r="DG6" s="97"/>
      <c r="DH6" s="96"/>
      <c r="DI6" s="96"/>
      <c r="DJ6" s="159"/>
      <c r="DK6" s="96"/>
      <c r="DL6" s="96"/>
      <c r="DM6" s="97"/>
      <c r="DN6" s="96"/>
      <c r="DO6" s="96"/>
      <c r="DP6" s="96"/>
      <c r="DQ6" s="96"/>
      <c r="DR6" s="96"/>
      <c r="DS6" s="96"/>
      <c r="DT6" s="96"/>
      <c r="DU6" s="97"/>
      <c r="DV6" s="96"/>
      <c r="DW6" s="96"/>
      <c r="DX6" s="159"/>
      <c r="DY6" s="96"/>
      <c r="DZ6" s="96"/>
      <c r="EA6" s="97"/>
      <c r="EB6" s="96"/>
      <c r="EC6" s="96"/>
      <c r="ED6" s="96"/>
      <c r="EE6" s="96"/>
      <c r="EF6" s="96"/>
      <c r="EG6" s="96"/>
      <c r="EH6" s="96"/>
      <c r="EI6" s="97"/>
      <c r="EJ6" s="96"/>
      <c r="EK6" s="96"/>
      <c r="EL6" s="159"/>
      <c r="EN6" s="98"/>
      <c r="EO6" s="96"/>
      <c r="ER6" s="99"/>
      <c r="ES6" s="100"/>
      <c r="ET6" s="101"/>
      <c r="EU6" s="101"/>
      <c r="EV6" s="102"/>
      <c r="EW6" s="103"/>
      <c r="EX6" s="103"/>
      <c r="FD6" s="159"/>
      <c r="FO6" s="159"/>
    </row>
    <row r="7" spans="1:181" s="22" customFormat="1" ht="81.75" hidden="1" customHeight="1" x14ac:dyDescent="0.25">
      <c r="A7" s="22" t="str">
        <f>mehrsprachigkeitBegriffsrückgabe(gewählteSpracheZurückgeben(),"/Product/Product (foreign language)/Variant/Variant (foreign language)/")</f>
        <v>/Produkt/Produkt (Fremdsprache)/Variante/Variante (Fremdsprache)/</v>
      </c>
      <c r="B7" s="22" t="str">
        <f>mehrsprachigkeitBegriffsrückgabe(gewählteSpracheZurückgeben(),"/Product/Product (foreign language)/Variant/Variant (foreign language)/")</f>
        <v>/Produkt/Produkt (Fremdsprache)/Variante/Variante (Fremdsprache)/</v>
      </c>
      <c r="C7" s="22" t="str">
        <f>mehrsprachigkeitBegriffsrückgabe(gewählteSpracheZurückgeben(),"/Product/Product (foreign language)/Variant/Variant (foreign language)/")</f>
        <v>/Produkt/Produkt (Fremdsprache)/Variante/Variante (Fremdsprache)/</v>
      </c>
      <c r="D7" s="22" t="str">
        <f>mehrsprachigkeitBegriffsrückgabe(gewählteSpracheZurückgeben(),"/Product/Variant/")</f>
        <v>/Produkt/Variante/</v>
      </c>
      <c r="E7" s="160"/>
      <c r="F7" s="22" t="str">
        <f>mehrsprachigkeitBegriffsrückgabe(gewählteSpracheZurückgeben(),"/Product/Product (foreign language)/Variant/Variant (foreign language)/")</f>
        <v>/Produkt/Produkt (Fremdsprache)/Variante/Variante (Fremdsprache)/</v>
      </c>
      <c r="G7" s="22" t="str">
        <f>mehrsprachigkeitBegriffsrückgabe(gewählteSpracheZurückgeben(),"/Product/Variant/")</f>
        <v>/Produkt/Variante/</v>
      </c>
      <c r="H7" s="22" t="str">
        <f>mehrsprachigkeitBegriffsrückgabe(gewählteSpracheZurückgeben(),"/Product (foreign language)/Variant/Variant (foreign language)/")</f>
        <v>/Produkt (Fremdsprache)/Variante/Variante (Fremdsprache)/</v>
      </c>
      <c r="I7" s="22" t="str">
        <f>mehrsprachigkeitBegriffsrückgabe(gewählteSpracheZurückgeben(),"/Product/Product (foreign language)/Variant/Variant (foreign language)/")</f>
        <v>/Produkt/Produkt (Fremdsprache)/Variante/Variante (Fremdsprache)/</v>
      </c>
      <c r="J7" s="22" t="str">
        <f>mehrsprachigkeitBegriffsrückgabe(gewählteSpracheZurückgeben(),"/Product/Product (foreign language)/Variant/Variant (foreign language)/")</f>
        <v>/Produkt/Produkt (Fremdsprache)/Variante/Variante (Fremdsprache)/</v>
      </c>
      <c r="K7" s="22" t="str">
        <f>mehrsprachigkeitBegriffsrückgabe(gewählteSpracheZurückgeben(),"/Product/Product (foreign language)/Variant/Variant (foreign language)/")</f>
        <v>/Produkt/Produkt (Fremdsprache)/Variante/Variante (Fremdsprache)/</v>
      </c>
      <c r="L7" s="160"/>
      <c r="M7" s="22" t="str">
        <f>mehrsprachigkeitBegriffsrückgabe(gewählteSpracheZurückgeben(),"/Product/Variant/")</f>
        <v>/Produkt/Variante/</v>
      </c>
      <c r="N7" s="22" t="str">
        <f>mehrsprachigkeitBegriffsrückgabe(gewählteSpracheZurückgeben(),"/Product/Variant/")</f>
        <v>/Produkt/Variante/</v>
      </c>
      <c r="O7" s="22" t="str">
        <f>mehrsprachigkeitBegriffsrückgabe(gewählteSpracheZurückgeben(),"/Product/Variant/")</f>
        <v>/Produkt/Variante/</v>
      </c>
      <c r="P7" s="22" t="str">
        <f>mehrsprachigkeitBegriffsrückgabe(gewählteSpracheZurückgeben(),"/Product/Variant/")</f>
        <v>/Produkt/Variante/</v>
      </c>
      <c r="Q7" s="22" t="str">
        <f>mehrsprachigkeitBegriffsrückgabe(gewählteSpracheZurückgeben(),"/Product/Variant/")</f>
        <v>/Produkt/Variante/</v>
      </c>
      <c r="R7" s="22" t="str">
        <f>mehrsprachigkeitBegriffsrückgabe(gewählteSpracheZurückgeben(),"/Product/Variant/")</f>
        <v>/Produkt/Variante/</v>
      </c>
      <c r="S7" s="22" t="str">
        <f>mehrsprachigkeitBegriffsrückgabe(gewählteSpracheZurückgeben(),"/Product/Variant/")</f>
        <v>/Produkt/Variante/</v>
      </c>
      <c r="T7" s="22" t="str">
        <f>mehrsprachigkeitBegriffsrückgabe(gewählteSpracheZurückgeben(),"/Product/Variant/")</f>
        <v>/Produkt/Variante/</v>
      </c>
      <c r="U7" s="22" t="str">
        <f>mehrsprachigkeitBegriffsrückgabe(gewählteSpracheZurückgeben(),"/Product/Variant/")</f>
        <v>/Produkt/Variante/</v>
      </c>
      <c r="V7" s="22" t="str">
        <f>mehrsprachigkeitBegriffsrückgabe(gewählteSpracheZurückgeben(),"/Product/Variant/")</f>
        <v>/Produkt/Variante/</v>
      </c>
      <c r="W7" s="22" t="str">
        <f>mehrsprachigkeitBegriffsrückgabe(gewählteSpracheZurückgeben(),"/Product/Variant/")</f>
        <v>/Produkt/Variante/</v>
      </c>
      <c r="X7" s="22" t="str">
        <f>mehrsprachigkeitBegriffsrückgabe(gewählteSpracheZurückgeben(),"/Product/Variant/")</f>
        <v>/Produkt/Variante/</v>
      </c>
      <c r="Y7" s="22" t="str">
        <f>mehrsprachigkeitBegriffsrückgabe(gewählteSpracheZurückgeben(),"/Product/Variant/")</f>
        <v>/Produkt/Variante/</v>
      </c>
      <c r="Z7" s="22" t="str">
        <f>mehrsprachigkeitBegriffsrückgabe(gewählteSpracheZurückgeben(),"/Product/Variant/")</f>
        <v>/Produkt/Variante/</v>
      </c>
      <c r="AA7" s="22" t="str">
        <f>mehrsprachigkeitBegriffsrückgabe(gewählteSpracheZurückgeben(),"/Product/Variant/")</f>
        <v>/Produkt/Variante/</v>
      </c>
      <c r="AB7" s="22" t="str">
        <f>mehrsprachigkeitBegriffsrückgabe(gewählteSpracheZurückgeben(),"/Product/Variant/")</f>
        <v>/Produkt/Variante/</v>
      </c>
      <c r="AC7" s="22" t="str">
        <f>mehrsprachigkeitBegriffsrückgabe(gewählteSpracheZurückgeben(),"/Product/Variant/")</f>
        <v>/Produkt/Variante/</v>
      </c>
      <c r="AD7" s="22" t="str">
        <f>mehrsprachigkeitBegriffsrückgabe(gewählteSpracheZurückgeben(),"/Product/Variant/")</f>
        <v>/Produkt/Variante/</v>
      </c>
      <c r="AE7" s="22" t="str">
        <f>mehrsprachigkeitBegriffsrückgabe(gewählteSpracheZurückgeben(),"/Product/Variant/")</f>
        <v>/Produkt/Variante/</v>
      </c>
      <c r="AF7" s="22" t="str">
        <f>mehrsprachigkeitBegriffsrückgabe(gewählteSpracheZurückgeben(),"/Product/Variant/")</f>
        <v>/Produkt/Variante/</v>
      </c>
      <c r="AG7" s="22" t="str">
        <f>mehrsprachigkeitBegriffsrückgabe(gewählteSpracheZurückgeben(),"/Product/Variant/")</f>
        <v>/Produkt/Variante/</v>
      </c>
      <c r="AH7" s="22" t="str">
        <f>mehrsprachigkeitBegriffsrückgabe(gewählteSpracheZurückgeben(),"/Product/Variant/")</f>
        <v>/Produkt/Variante/</v>
      </c>
      <c r="AI7" s="22" t="str">
        <f>mehrsprachigkeitBegriffsrückgabe(gewählteSpracheZurückgeben(),"/Product/Variant/")</f>
        <v>/Produkt/Variante/</v>
      </c>
      <c r="AJ7" s="22" t="str">
        <f>mehrsprachigkeitBegriffsrückgabe(gewählteSpracheZurückgeben(),"/Product/Variant/")</f>
        <v>/Produkt/Variante/</v>
      </c>
      <c r="AK7" s="22" t="str">
        <f>mehrsprachigkeitBegriffsrückgabe(gewählteSpracheZurückgeben(),"/Product/Variant/")</f>
        <v>/Produkt/Variante/</v>
      </c>
      <c r="AL7" s="22" t="str">
        <f>mehrsprachigkeitBegriffsrückgabe(gewählteSpracheZurückgeben(),"/Product/Variant/")</f>
        <v>/Produkt/Variante/</v>
      </c>
      <c r="AM7" s="22" t="str">
        <f>mehrsprachigkeitBegriffsrückgabe(gewählteSpracheZurückgeben(),"/Product/Variant/")</f>
        <v>/Produkt/Variante/</v>
      </c>
      <c r="AN7" s="22" t="str">
        <f>mehrsprachigkeitBegriffsrückgabe(gewählteSpracheZurückgeben(),"/Product/Variant/")</f>
        <v>/Produkt/Variante/</v>
      </c>
      <c r="AO7" s="22" t="str">
        <f>mehrsprachigkeitBegriffsrückgabe(gewählteSpracheZurückgeben(),"/Product/Variant/")</f>
        <v>/Produkt/Variante/</v>
      </c>
      <c r="AP7" s="22" t="str">
        <f>mehrsprachigkeitBegriffsrückgabe(gewählteSpracheZurückgeben(),"/Product/Variant/")</f>
        <v>/Produkt/Variante/</v>
      </c>
      <c r="AQ7" s="22" t="str">
        <f>mehrsprachigkeitBegriffsrückgabe(gewählteSpracheZurückgeben(),"/Product/Variant/")</f>
        <v>/Produkt/Variante/</v>
      </c>
      <c r="AR7" s="22" t="str">
        <f>mehrsprachigkeitBegriffsrückgabe(gewählteSpracheZurückgeben(),"/Product/Variant/")</f>
        <v>/Produkt/Variante/</v>
      </c>
      <c r="AS7" s="22" t="str">
        <f>mehrsprachigkeitBegriffsrückgabe(gewählteSpracheZurückgeben(),"/Product/Variant/")</f>
        <v>/Produkt/Variante/</v>
      </c>
      <c r="AT7" s="22" t="str">
        <f>mehrsprachigkeitBegriffsrückgabe(gewählteSpracheZurückgeben(),"/Product/Variant/")</f>
        <v>/Produkt/Variante/</v>
      </c>
      <c r="AU7" s="22" t="str">
        <f>mehrsprachigkeitBegriffsrückgabe(gewählteSpracheZurückgeben(),"/Product/Variant/")</f>
        <v>/Produkt/Variante/</v>
      </c>
      <c r="AV7" s="22" t="str">
        <f>mehrsprachigkeitBegriffsrückgabe(gewählteSpracheZurückgeben(),"/Product/Variant/")</f>
        <v>/Produkt/Variante/</v>
      </c>
      <c r="AW7" s="22" t="str">
        <f>mehrsprachigkeitBegriffsrückgabe(gewählteSpracheZurückgeben(),"/Product/Variant/")</f>
        <v>/Produkt/Variante/</v>
      </c>
      <c r="AX7" s="22" t="str">
        <f>mehrsprachigkeitBegriffsrückgabe(gewählteSpracheZurückgeben(),"/Product/Variant/")</f>
        <v>/Produkt/Variante/</v>
      </c>
      <c r="AY7" s="22" t="str">
        <f>mehrsprachigkeitBegriffsrückgabe(gewählteSpracheZurückgeben(),"/Product/Variant/")</f>
        <v>/Produkt/Variante/</v>
      </c>
      <c r="AZ7" s="22" t="str">
        <f>mehrsprachigkeitBegriffsrückgabe(gewählteSpracheZurückgeben(),"/Product/Variant/")</f>
        <v>/Produkt/Variante/</v>
      </c>
      <c r="BA7" s="160"/>
      <c r="BB7" s="22" t="str">
        <f>mehrsprachigkeitBegriffsrückgabe(gewählteSpracheZurückgeben(),"/Product/Product (foreign language)/Variant/Variant (foreign language)/")</f>
        <v>/Produkt/Produkt (Fremdsprache)/Variante/Variante (Fremdsprache)/</v>
      </c>
      <c r="BC7" s="22" t="str">
        <f>mehrsprachigkeitBegriffsrückgabe(gewählteSpracheZurückgeben(),"/Product/Product (foreign language)/Variant/Variant (foreign language)/")</f>
        <v>/Produkt/Produkt (Fremdsprache)/Variante/Variante (Fremdsprache)/</v>
      </c>
      <c r="BD7" s="22" t="str">
        <f>mehrsprachigkeitBegriffsrückgabe(gewählteSpracheZurückgeben(),"/Product/")</f>
        <v>/Produkt/</v>
      </c>
      <c r="BE7" s="22" t="str">
        <f>mehrsprachigkeitBegriffsrückgabe(gewählteSpracheZurückgeben(),"/Product/")</f>
        <v>/Produkt/</v>
      </c>
      <c r="BF7" s="160"/>
      <c r="BG7" s="23" t="str">
        <f>mehrsprachigkeitBegriffsrückgabe(gewählteSpracheZurückgeben(),"/Product/Variant/")</f>
        <v>/Produkt/Variante/</v>
      </c>
      <c r="BH7" s="24" t="str">
        <f>mehrsprachigkeitBegriffsrückgabe(gewählteSpracheZurückgeben(),"/Variant/")</f>
        <v>/Variante/</v>
      </c>
      <c r="BI7" s="160"/>
      <c r="BJ7" s="24" t="str">
        <f>mehrsprachigkeitBegriffsrückgabe(gewählteSpracheZurückgeben(),"/Product/Variant/")</f>
        <v>/Produkt/Variante/</v>
      </c>
      <c r="BK7" s="24" t="str">
        <f>mehrsprachigkeitBegriffsrückgabe(gewählteSpracheZurückgeben(),"/Product/Variant/")</f>
        <v>/Produkt/Variante/</v>
      </c>
      <c r="BL7" s="24" t="str">
        <f>mehrsprachigkeitBegriffsrückgabe(gewählteSpracheZurückgeben(),"/Product/Variant/")</f>
        <v>/Produkt/Variante/</v>
      </c>
      <c r="BM7" s="24" t="str">
        <f>mehrsprachigkeitBegriffsrückgabe(gewählteSpracheZurückgeben(),"/Product/Variant/")</f>
        <v>/Produkt/Variante/</v>
      </c>
      <c r="BN7" s="24" t="str">
        <f>mehrsprachigkeitBegriffsrückgabe(gewählteSpracheZurückgeben(),"/Product/Variant/")</f>
        <v>/Produkt/Variante/</v>
      </c>
      <c r="BO7" s="24" t="str">
        <f>mehrsprachigkeitBegriffsrückgabe(gewählteSpracheZurückgeben(),"/Product/Variant/")</f>
        <v>/Produkt/Variante/</v>
      </c>
      <c r="BP7" s="160"/>
      <c r="BQ7" s="23" t="str">
        <f>mehrsprachigkeitBegriffsrückgabe(gewählteSpracheZurückgeben(),"/Product/Variant/")</f>
        <v>/Produkt/Variante/</v>
      </c>
      <c r="BR7" s="24" t="str">
        <f>mehrsprachigkeitBegriffsrückgabe(gewählteSpracheZurückgeben(),"/Variant/")</f>
        <v>/Variante/</v>
      </c>
      <c r="BS7" s="24" t="str">
        <f>mehrsprachigkeitBegriffsrückgabe(gewählteSpracheZurückgeben(),"/Product/Variant/")</f>
        <v>/Produkt/Variante/</v>
      </c>
      <c r="BT7" s="160"/>
      <c r="BU7" s="23" t="str">
        <f>mehrsprachigkeitBegriffsrückgabe(gewählteSpracheZurückgeben(),"/Product/Variant/")</f>
        <v>/Produkt/Variante/</v>
      </c>
      <c r="BV7" s="23" t="str">
        <f>mehrsprachigkeitBegriffsrückgabe(gewählteSpracheZurückgeben(),"/Product/Variant/")</f>
        <v>/Produkt/Variante/</v>
      </c>
      <c r="BW7" s="23" t="str">
        <f>mehrsprachigkeitBegriffsrückgabe(gewählteSpracheZurückgeben(),"/Product/Variant/")</f>
        <v>/Produkt/Variante/</v>
      </c>
      <c r="BX7" s="24" t="str">
        <f>mehrsprachigkeitBegriffsrückgabe(gewählteSpracheZurückgeben(),"/Variant/")</f>
        <v>/Variante/</v>
      </c>
      <c r="BY7" s="24" t="str">
        <f>mehrsprachigkeitBegriffsrückgabe(gewählteSpracheZurückgeben(),"/Product/Variant/")</f>
        <v>/Produkt/Variante/</v>
      </c>
      <c r="BZ7" s="24" t="str">
        <f>mehrsprachigkeitBegriffsrückgabe(gewählteSpracheZurückgeben(),"/Product/Variant/")</f>
        <v>/Produkt/Variante/</v>
      </c>
      <c r="CA7" s="24" t="str">
        <f>mehrsprachigkeitBegriffsrückgabe(gewählteSpracheZurückgeben(),"/Product/Variant/")</f>
        <v>/Produkt/Variante/</v>
      </c>
      <c r="CB7" s="24" t="str">
        <f>mehrsprachigkeitBegriffsrückgabe(gewählteSpracheZurückgeben(),"/Product/Variant/")</f>
        <v>/Produkt/Variante/</v>
      </c>
      <c r="CC7" s="24" t="str">
        <f>mehrsprachigkeitBegriffsrückgabe(gewählteSpracheZurückgeben(),"/Product/Variant/")</f>
        <v>/Produkt/Variante/</v>
      </c>
      <c r="CD7" s="24" t="str">
        <f>mehrsprachigkeitBegriffsrückgabe(gewählteSpracheZurückgeben(),"/Product/Variant/")</f>
        <v>/Produkt/Variante/</v>
      </c>
      <c r="CE7" s="23" t="str">
        <f>mehrsprachigkeitBegriffsrückgabe(gewählteSpracheZurückgeben(),"/Product/Variant/")</f>
        <v>/Produkt/Variante/</v>
      </c>
      <c r="CF7" s="24" t="str">
        <f>mehrsprachigkeitBegriffsrückgabe(gewählteSpracheZurückgeben(),"/Variant/")</f>
        <v>/Variante/</v>
      </c>
      <c r="CG7" s="24" t="str">
        <f>mehrsprachigkeitBegriffsrückgabe(gewählteSpracheZurückgeben(),"/Product/Variant/")</f>
        <v>/Produkt/Variante/</v>
      </c>
      <c r="CH7" s="160"/>
      <c r="CI7" s="23" t="str">
        <f>mehrsprachigkeitBegriffsrückgabe(gewählteSpracheZurückgeben(),"/Product/Variant/")</f>
        <v>/Produkt/Variante/</v>
      </c>
      <c r="CJ7" s="23" t="str">
        <f>mehrsprachigkeitBegriffsrückgabe(gewählteSpracheZurückgeben(),"/Product/Variant/")</f>
        <v>/Produkt/Variante/</v>
      </c>
      <c r="CK7" s="23" t="str">
        <f>mehrsprachigkeitBegriffsrückgabe(gewählteSpracheZurückgeben(),"/Product/Variant/")</f>
        <v>/Produkt/Variante/</v>
      </c>
      <c r="CL7" s="24" t="str">
        <f>mehrsprachigkeitBegriffsrückgabe(gewählteSpracheZurückgeben(),"/Variant/")</f>
        <v>/Variante/</v>
      </c>
      <c r="CM7" s="24" t="str">
        <f>mehrsprachigkeitBegriffsrückgabe(gewählteSpracheZurückgeben(),"/Product/Variant/")</f>
        <v>/Produkt/Variante/</v>
      </c>
      <c r="CN7" s="24" t="str">
        <f>mehrsprachigkeitBegriffsrückgabe(gewählteSpracheZurückgeben(),"/Product/Variant/")</f>
        <v>/Produkt/Variante/</v>
      </c>
      <c r="CO7" s="24" t="str">
        <f>mehrsprachigkeitBegriffsrückgabe(gewählteSpracheZurückgeben(),"/Product/Variant/")</f>
        <v>/Produkt/Variante/</v>
      </c>
      <c r="CP7" s="24" t="str">
        <f>mehrsprachigkeitBegriffsrückgabe(gewählteSpracheZurückgeben(),"/Product/Variant/")</f>
        <v>/Produkt/Variante/</v>
      </c>
      <c r="CQ7" s="24" t="str">
        <f>mehrsprachigkeitBegriffsrückgabe(gewählteSpracheZurückgeben(),"/Product/Variant/")</f>
        <v>/Produkt/Variante/</v>
      </c>
      <c r="CR7" s="24" t="str">
        <f>mehrsprachigkeitBegriffsrückgabe(gewählteSpracheZurückgeben(),"/Product/Variant/")</f>
        <v>/Produkt/Variante/</v>
      </c>
      <c r="CS7" s="23" t="str">
        <f>mehrsprachigkeitBegriffsrückgabe(gewählteSpracheZurückgeben(),"/Product/Variant/")</f>
        <v>/Produkt/Variante/</v>
      </c>
      <c r="CT7" s="24" t="str">
        <f>mehrsprachigkeitBegriffsrückgabe(gewählteSpracheZurückgeben(),"/Variant/")</f>
        <v>/Variante/</v>
      </c>
      <c r="CU7" s="24" t="str">
        <f>mehrsprachigkeitBegriffsrückgabe(gewählteSpracheZurückgeben(),"/Product/Variant/")</f>
        <v>/Produkt/Variante/</v>
      </c>
      <c r="CV7" s="160"/>
      <c r="CW7" s="23" t="str">
        <f>mehrsprachigkeitBegriffsrückgabe(gewählteSpracheZurückgeben(),"/Product/Variant/")</f>
        <v>/Produkt/Variante/</v>
      </c>
      <c r="CX7" s="23" t="str">
        <f>mehrsprachigkeitBegriffsrückgabe(gewählteSpracheZurückgeben(),"/Product/Variant/")</f>
        <v>/Produkt/Variante/</v>
      </c>
      <c r="CY7" s="23" t="str">
        <f>mehrsprachigkeitBegriffsrückgabe(gewählteSpracheZurückgeben(),"/Product/Variant/")</f>
        <v>/Produkt/Variante/</v>
      </c>
      <c r="CZ7" s="24" t="str">
        <f>mehrsprachigkeitBegriffsrückgabe(gewählteSpracheZurückgeben(),"/Variant/")</f>
        <v>/Variante/</v>
      </c>
      <c r="DA7" s="24" t="str">
        <f>mehrsprachigkeitBegriffsrückgabe(gewählteSpracheZurückgeben(),"/Product/Variant/")</f>
        <v>/Produkt/Variante/</v>
      </c>
      <c r="DB7" s="24" t="str">
        <f>mehrsprachigkeitBegriffsrückgabe(gewählteSpracheZurückgeben(),"/Product/Variant/")</f>
        <v>/Produkt/Variante/</v>
      </c>
      <c r="DC7" s="24" t="str">
        <f>mehrsprachigkeitBegriffsrückgabe(gewählteSpracheZurückgeben(),"/Product/Variant/")</f>
        <v>/Produkt/Variante/</v>
      </c>
      <c r="DD7" s="24" t="str">
        <f>mehrsprachigkeitBegriffsrückgabe(gewählteSpracheZurückgeben(),"/Product/Variant/")</f>
        <v>/Produkt/Variante/</v>
      </c>
      <c r="DE7" s="24" t="str">
        <f>mehrsprachigkeitBegriffsrückgabe(gewählteSpracheZurückgeben(),"/Product/Variant/")</f>
        <v>/Produkt/Variante/</v>
      </c>
      <c r="DF7" s="24" t="str">
        <f>mehrsprachigkeitBegriffsrückgabe(gewählteSpracheZurückgeben(),"/Product/Variant/")</f>
        <v>/Produkt/Variante/</v>
      </c>
      <c r="DG7" s="23" t="str">
        <f>mehrsprachigkeitBegriffsrückgabe(gewählteSpracheZurückgeben(),"/Product/Variant/")</f>
        <v>/Produkt/Variante/</v>
      </c>
      <c r="DH7" s="24" t="str">
        <f>mehrsprachigkeitBegriffsrückgabe(gewählteSpracheZurückgeben(),"/Variant/")</f>
        <v>/Variante/</v>
      </c>
      <c r="DI7" s="24" t="str">
        <f>mehrsprachigkeitBegriffsrückgabe(gewählteSpracheZurückgeben(),"/Product/Variant/")</f>
        <v>/Produkt/Variante/</v>
      </c>
      <c r="DJ7" s="160"/>
      <c r="DK7" s="23" t="str">
        <f>mehrsprachigkeitBegriffsrückgabe(gewählteSpracheZurückgeben(),"/Product/Variant/")</f>
        <v>/Produkt/Variante/</v>
      </c>
      <c r="DL7" s="23" t="str">
        <f>mehrsprachigkeitBegriffsrückgabe(gewählteSpracheZurückgeben(),"/Product/Variant/")</f>
        <v>/Produkt/Variante/</v>
      </c>
      <c r="DM7" s="23" t="str">
        <f>mehrsprachigkeitBegriffsrückgabe(gewählteSpracheZurückgeben(),"/Product/Variant/")</f>
        <v>/Produkt/Variante/</v>
      </c>
      <c r="DN7" s="24" t="str">
        <f>mehrsprachigkeitBegriffsrückgabe(gewählteSpracheZurückgeben(),"/Variant/")</f>
        <v>/Variante/</v>
      </c>
      <c r="DO7" s="24" t="str">
        <f>mehrsprachigkeitBegriffsrückgabe(gewählteSpracheZurückgeben(),"/Product/Variant/")</f>
        <v>/Produkt/Variante/</v>
      </c>
      <c r="DP7" s="24" t="str">
        <f>mehrsprachigkeitBegriffsrückgabe(gewählteSpracheZurückgeben(),"/Product/Variant/")</f>
        <v>/Produkt/Variante/</v>
      </c>
      <c r="DQ7" s="24" t="str">
        <f>mehrsprachigkeitBegriffsrückgabe(gewählteSpracheZurückgeben(),"/Product/Variant/")</f>
        <v>/Produkt/Variante/</v>
      </c>
      <c r="DR7" s="24" t="str">
        <f>mehrsprachigkeitBegriffsrückgabe(gewählteSpracheZurückgeben(),"/Product/Variant/")</f>
        <v>/Produkt/Variante/</v>
      </c>
      <c r="DS7" s="24" t="str">
        <f>mehrsprachigkeitBegriffsrückgabe(gewählteSpracheZurückgeben(),"/Product/Variant/")</f>
        <v>/Produkt/Variante/</v>
      </c>
      <c r="DT7" s="24" t="str">
        <f>mehrsprachigkeitBegriffsrückgabe(gewählteSpracheZurückgeben(),"/Product/Variant/")</f>
        <v>/Produkt/Variante/</v>
      </c>
      <c r="DU7" s="23" t="str">
        <f>mehrsprachigkeitBegriffsrückgabe(gewählteSpracheZurückgeben(),"/Product/Variant/")</f>
        <v>/Produkt/Variante/</v>
      </c>
      <c r="DV7" s="24" t="str">
        <f>mehrsprachigkeitBegriffsrückgabe(gewählteSpracheZurückgeben(),"/Variant/")</f>
        <v>/Variante/</v>
      </c>
      <c r="DW7" s="24" t="str">
        <f>mehrsprachigkeitBegriffsrückgabe(gewählteSpracheZurückgeben(),"/Product/Variant/")</f>
        <v>/Produkt/Variante/</v>
      </c>
      <c r="DX7" s="160"/>
      <c r="DY7" s="23" t="str">
        <f>mehrsprachigkeitBegriffsrückgabe(gewählteSpracheZurückgeben(),"/Product/Variant/")</f>
        <v>/Produkt/Variante/</v>
      </c>
      <c r="DZ7" s="23" t="str">
        <f>mehrsprachigkeitBegriffsrückgabe(gewählteSpracheZurückgeben(),"/Product/Variant/")</f>
        <v>/Produkt/Variante/</v>
      </c>
      <c r="EA7" s="23" t="str">
        <f>mehrsprachigkeitBegriffsrückgabe(gewählteSpracheZurückgeben(),"/Product/Variant/")</f>
        <v>/Produkt/Variante/</v>
      </c>
      <c r="EB7" s="24" t="str">
        <f>mehrsprachigkeitBegriffsrückgabe(gewählteSpracheZurückgeben(),"/Variant/")</f>
        <v>/Variante/</v>
      </c>
      <c r="EC7" s="24" t="str">
        <f>mehrsprachigkeitBegriffsrückgabe(gewählteSpracheZurückgeben(),"/Product/Variant/")</f>
        <v>/Produkt/Variante/</v>
      </c>
      <c r="ED7" s="24" t="str">
        <f>mehrsprachigkeitBegriffsrückgabe(gewählteSpracheZurückgeben(),"/Product/Variant/")</f>
        <v>/Produkt/Variante/</v>
      </c>
      <c r="EE7" s="24" t="str">
        <f>mehrsprachigkeitBegriffsrückgabe(gewählteSpracheZurückgeben(),"/Product/Variant/")</f>
        <v>/Produkt/Variante/</v>
      </c>
      <c r="EF7" s="24" t="str">
        <f>mehrsprachigkeitBegriffsrückgabe(gewählteSpracheZurückgeben(),"/Product/Variant/")</f>
        <v>/Produkt/Variante/</v>
      </c>
      <c r="EG7" s="24" t="str">
        <f>mehrsprachigkeitBegriffsrückgabe(gewählteSpracheZurückgeben(),"/Product/Variant/")</f>
        <v>/Produkt/Variante/</v>
      </c>
      <c r="EH7" s="24" t="str">
        <f>mehrsprachigkeitBegriffsrückgabe(gewählteSpracheZurückgeben(),"/Product/Variant/")</f>
        <v>/Produkt/Variante/</v>
      </c>
      <c r="EI7" s="23" t="str">
        <f>mehrsprachigkeitBegriffsrückgabe(gewählteSpracheZurückgeben(),"/Product/Variant/")</f>
        <v>/Produkt/Variante/</v>
      </c>
      <c r="EJ7" s="24" t="str">
        <f>mehrsprachigkeitBegriffsrückgabe(gewählteSpracheZurückgeben(),"/Variant/")</f>
        <v>/Variante/</v>
      </c>
      <c r="EK7" s="24" t="str">
        <f>mehrsprachigkeitBegriffsrückgabe(gewählteSpracheZurückgeben(),"/Product/Variant/")</f>
        <v>/Produkt/Variante/</v>
      </c>
      <c r="EL7" s="160"/>
      <c r="EM7" s="22" t="str">
        <f>mehrsprachigkeitBegriffsrückgabe(gewählteSpracheZurückgeben(),"/Product/")</f>
        <v>/Produkt/</v>
      </c>
      <c r="EN7" s="25" t="str">
        <f>mehrsprachigkeitBegriffsrückgabe(gewählteSpracheZurückgeben(),"/Product/Variant/")</f>
        <v>/Produkt/Variante/</v>
      </c>
      <c r="EO7" s="24" t="str">
        <f>mehrsprachigkeitBegriffsrückgabe(gewählteSpracheZurückgeben(),"/Variant/")</f>
        <v>/Variante/</v>
      </c>
      <c r="EP7" s="22" t="str">
        <f>mehrsprachigkeitBegriffsrückgabe(gewählteSpracheZurückgeben(),"/Product/Product (foreign language)/Variant/Variant (foreign language)/")</f>
        <v>/Produkt/Produkt (Fremdsprache)/Variante/Variante (Fremdsprache)/</v>
      </c>
      <c r="EQ7" s="22" t="str">
        <f>mehrsprachigkeitBegriffsrückgabe(gewählteSpracheZurückgeben(),"/Product/Product (foreign language)/Variant/Variant (foreign language)/")</f>
        <v>/Produkt/Produkt (Fremdsprache)/Variante/Variante (Fremdsprache)/</v>
      </c>
      <c r="ER7" s="26" t="str">
        <f>mehrsprachigkeitBegriffsrückgabe(gewählteSpracheZurückgeben(),"/Product/Variant/")</f>
        <v>/Produkt/Variante/</v>
      </c>
      <c r="ES7" s="27" t="str">
        <f>mehrsprachigkeitBegriffsrückgabe(gewählteSpracheZurückgeben(),"/Product/")</f>
        <v>/Produkt/</v>
      </c>
      <c r="ET7" s="85" t="str">
        <f>mehrsprachigkeitBegriffsrückgabe(gewählteSpracheZurückgeben(),"/Product/")</f>
        <v>/Produkt/</v>
      </c>
      <c r="EU7" s="85" t="str">
        <f>mehrsprachigkeitBegriffsrückgabe(gewählteSpracheZurückgeben(),"/Product/")</f>
        <v>/Produkt/</v>
      </c>
      <c r="EV7" s="48" t="str">
        <f>mehrsprachigkeitBegriffsrückgabe(gewählteSpracheZurückgeben(),"/Product/Product (foreign language)/")</f>
        <v>/Produkt/Produkt (Fremdsprache)/</v>
      </c>
      <c r="EW7" s="58" t="str">
        <f>mehrsprachigkeitBegriffsrückgabe(gewählteSpracheZurückgeben(),"/Product/Variant/")</f>
        <v>/Produkt/Variante/</v>
      </c>
      <c r="EX7" s="58" t="str">
        <f>mehrsprachigkeitBegriffsrückgabe(gewählteSpracheZurückgeben(),"/Product/Variant/")</f>
        <v>/Produkt/Variante/</v>
      </c>
      <c r="EY7" s="22" t="str">
        <f>mehrsprachigkeitBegriffsrückgabe(gewählteSpracheZurückgeben(),"/Product/Variant/")</f>
        <v>/Produkt/Variante/</v>
      </c>
      <c r="EZ7" s="22" t="str">
        <f>mehrsprachigkeitBegriffsrückgabe(gewählteSpracheZurückgeben(),"/Product/Variant/")</f>
        <v>/Produkt/Variante/</v>
      </c>
      <c r="FA7" s="22" t="str">
        <f>mehrsprachigkeitBegriffsrückgabe(gewählteSpracheZurückgeben(),"/Product/")</f>
        <v>/Produkt/</v>
      </c>
      <c r="FB7" s="25" t="str">
        <f>mehrsprachigkeitBegriffsrückgabe(gewählteSpracheZurückgeben(),"/Product/Variant/")</f>
        <v>/Produkt/Variante/</v>
      </c>
      <c r="FC7" s="22" t="str">
        <f>mehrsprachigkeitBegriffsrückgabe(gewählteSpracheZurückgeben(),"/Product/")</f>
        <v>/Produkt/</v>
      </c>
      <c r="FD7" s="160"/>
      <c r="FE7" s="22" t="str">
        <f>mehrsprachigkeitBegriffsrückgabe(gewählteSpracheZurückgeben(),"/Product/Product (foreign language)/Variant/Variant (foreign language)/")</f>
        <v>/Produkt/Produkt (Fremdsprache)/Variante/Variante (Fremdsprache)/</v>
      </c>
      <c r="FF7" s="22" t="str">
        <f>mehrsprachigkeitBegriffsrückgabe(gewählteSpracheZurückgeben(),"/Product/Product (foreign language)/Variant/Variant (foreign language)/")</f>
        <v>/Produkt/Produkt (Fremdsprache)/Variante/Variante (Fremdsprache)/</v>
      </c>
      <c r="FG7" s="22" t="str">
        <f>mehrsprachigkeitBegriffsrückgabe(gewählteSpracheZurückgeben(),"/Product/Product (foreign language)/Variant/Variant (foreign language)/")</f>
        <v>/Produkt/Produkt (Fremdsprache)/Variante/Variante (Fremdsprache)/</v>
      </c>
      <c r="FH7" s="22" t="str">
        <f>mehrsprachigkeitBegriffsrückgabe(gewählteSpracheZurückgeben(),"/Product/Product (foreign language)/Variant/Variant (foreign language)/")</f>
        <v>/Produkt/Produkt (Fremdsprache)/Variante/Variante (Fremdsprache)/</v>
      </c>
      <c r="FI7" s="22" t="str">
        <f>mehrsprachigkeitBegriffsrückgabe(gewählteSpracheZurückgeben(),"/Product/Product (foreign language)/Variant/Variant (foreign language)/")</f>
        <v>/Produkt/Produkt (Fremdsprache)/Variante/Variante (Fremdsprache)/</v>
      </c>
      <c r="FJ7" s="22" t="str">
        <f>mehrsprachigkeitBegriffsrückgabe(gewählteSpracheZurückgeben(),"/Product/Product (foreign language)/Variant/Variant (foreign language)/")</f>
        <v>/Produkt/Produkt (Fremdsprache)/Variante/Variante (Fremdsprache)/</v>
      </c>
      <c r="FK7" s="22" t="str">
        <f>mehrsprachigkeitBegriffsrückgabe(gewählteSpracheZurückgeben(),"/Product/Product (foreign language)/Variant/Variant (foreign language)/")</f>
        <v>/Produkt/Produkt (Fremdsprache)/Variante/Variante (Fremdsprache)/</v>
      </c>
      <c r="FL7" s="22" t="str">
        <f>mehrsprachigkeitBegriffsrückgabe(gewählteSpracheZurückgeben(),"/Product/Product (foreign language)/Variant/Variant (foreign language)/")</f>
        <v>/Produkt/Produkt (Fremdsprache)/Variante/Variante (Fremdsprache)/</v>
      </c>
      <c r="FM7" s="22" t="str">
        <f>mehrsprachigkeitBegriffsrückgabe(gewählteSpracheZurückgeben(),"/Product/Product (foreign language)/Variant/Variant (foreign language)/")</f>
        <v>/Produkt/Produkt (Fremdsprache)/Variante/Variante (Fremdsprache)/</v>
      </c>
      <c r="FN7" s="22" t="str">
        <f>mehrsprachigkeitBegriffsrückgabe(gewählteSpracheZurückgeben(),"/Product/Product (foreign language)/Variant/Variant (foreign language)/")</f>
        <v>/Produkt/Produkt (Fremdsprache)/Variante/Variante (Fremdsprache)/</v>
      </c>
      <c r="FO7" s="160"/>
      <c r="FP7" s="22" t="str">
        <f>mehrsprachigkeitBegriffsrückgabe(gewählteSpracheZurückgeben(),"/Product/Product (foreign language)/Variant/Variant (foreign language)/")</f>
        <v>/Produkt/Produkt (Fremdsprache)/Variante/Variante (Fremdsprache)/</v>
      </c>
      <c r="FQ7" s="22" t="str">
        <f>mehrsprachigkeitBegriffsrückgabe(gewählteSpracheZurückgeben(),"/Product/Product (foreign language)/Variant/Variant (foreign language)/")</f>
        <v>/Produkt/Produkt (Fremdsprache)/Variante/Variante (Fremdsprache)/</v>
      </c>
      <c r="FR7" s="22" t="str">
        <f>mehrsprachigkeitBegriffsrückgabe(gewählteSpracheZurückgeben(),"/Product/Product (foreign language)/Variant/Variant (foreign language)/")</f>
        <v>/Produkt/Produkt (Fremdsprache)/Variante/Variante (Fremdsprache)/</v>
      </c>
      <c r="FS7" s="22" t="str">
        <f>mehrsprachigkeitBegriffsrückgabe(gewählteSpracheZurückgeben(),"/Product/Product (foreign language)/Variant/Variant (foreign language)/")</f>
        <v>/Produkt/Produkt (Fremdsprache)/Variante/Variante (Fremdsprache)/</v>
      </c>
      <c r="FT7" s="22" t="str">
        <f>mehrsprachigkeitBegriffsrückgabe(gewählteSpracheZurückgeben(),"/Product/Product (foreign language)/Variant/Variant (foreign language)/")</f>
        <v>/Produkt/Produkt (Fremdsprache)/Variante/Variante (Fremdsprache)/</v>
      </c>
      <c r="FU7" s="22" t="str">
        <f>mehrsprachigkeitBegriffsrückgabe(gewählteSpracheZurückgeben(),"/Product/Product (foreign language)/Variant/Variant (foreign language)/")</f>
        <v>/Produkt/Produkt (Fremdsprache)/Variante/Variante (Fremdsprache)/</v>
      </c>
      <c r="FV7" s="22" t="str">
        <f>mehrsprachigkeitBegriffsrückgabe(gewählteSpracheZurückgeben(),"/Product/Product (foreign language)/Variant/Variant (foreign language)/")</f>
        <v>/Produkt/Produkt (Fremdsprache)/Variante/Variante (Fremdsprache)/</v>
      </c>
      <c r="FW7" s="22" t="str">
        <f>mehrsprachigkeitBegriffsrückgabe(gewählteSpracheZurückgeben(),"/Product/Product (foreign language)/Variant/Variant (foreign language)/")</f>
        <v>/Produkt/Produkt (Fremdsprache)/Variante/Variante (Fremdsprache)/</v>
      </c>
      <c r="FX7" s="22" t="str">
        <f>mehrsprachigkeitBegriffsrückgabe(gewählteSpracheZurückgeben(),"/Product/Product (foreign language)/Variant/Variant (foreign language)/")</f>
        <v>/Produkt/Produkt (Fremdsprache)/Variante/Variante (Fremdsprache)/</v>
      </c>
      <c r="FY7" s="22" t="str">
        <f>mehrsprachigkeitBegriffsrückgabe(gewählteSpracheZurückgeben(),"/Product/Product (foreign language)/Variant/Variant (foreign language)/")</f>
        <v>/Produkt/Produkt (Fremdsprache)/Variante/Variante (Fremdsprache)/</v>
      </c>
    </row>
    <row r="8" spans="1:181" s="28" customFormat="1" ht="22.5" hidden="1" customHeight="1" x14ac:dyDescent="0.25">
      <c r="E8" s="160" t="s">
        <v>259</v>
      </c>
      <c r="F8" s="28" t="s">
        <v>76</v>
      </c>
      <c r="H8" s="59"/>
      <c r="L8" s="160" t="s">
        <v>259</v>
      </c>
      <c r="BA8" s="160" t="s">
        <v>259</v>
      </c>
      <c r="BF8" s="160" t="s">
        <v>259</v>
      </c>
      <c r="BG8" s="29"/>
      <c r="BH8" s="30" t="s">
        <v>76</v>
      </c>
      <c r="BI8" s="160" t="s">
        <v>259</v>
      </c>
      <c r="BJ8" s="30"/>
      <c r="BK8" s="30" t="s">
        <v>76</v>
      </c>
      <c r="BL8" s="30" t="s">
        <v>76</v>
      </c>
      <c r="BM8" s="30"/>
      <c r="BN8" s="30"/>
      <c r="BO8" s="30"/>
      <c r="BP8" s="160" t="s">
        <v>259</v>
      </c>
      <c r="BQ8" s="29"/>
      <c r="BR8" s="30" t="s">
        <v>76</v>
      </c>
      <c r="BS8" s="30"/>
      <c r="BT8" s="160" t="s">
        <v>259</v>
      </c>
      <c r="BW8" s="29"/>
      <c r="BX8" s="30" t="s">
        <v>76</v>
      </c>
      <c r="BY8" s="30"/>
      <c r="BZ8" s="30" t="s">
        <v>76</v>
      </c>
      <c r="CA8" s="30" t="s">
        <v>76</v>
      </c>
      <c r="CB8" s="30"/>
      <c r="CC8" s="30"/>
      <c r="CD8" s="30"/>
      <c r="CE8" s="29"/>
      <c r="CF8" s="30" t="s">
        <v>76</v>
      </c>
      <c r="CG8" s="30"/>
      <c r="CH8" s="160" t="s">
        <v>259</v>
      </c>
      <c r="CK8" s="29"/>
      <c r="CL8" s="30" t="s">
        <v>76</v>
      </c>
      <c r="CM8" s="30"/>
      <c r="CN8" s="30" t="s">
        <v>76</v>
      </c>
      <c r="CO8" s="30" t="s">
        <v>76</v>
      </c>
      <c r="CP8" s="30"/>
      <c r="CQ8" s="30"/>
      <c r="CR8" s="30"/>
      <c r="CS8" s="29"/>
      <c r="CT8" s="30" t="s">
        <v>76</v>
      </c>
      <c r="CU8" s="30"/>
      <c r="CV8" s="160" t="s">
        <v>259</v>
      </c>
      <c r="CY8" s="29"/>
      <c r="CZ8" s="30" t="s">
        <v>76</v>
      </c>
      <c r="DA8" s="30"/>
      <c r="DB8" s="30" t="s">
        <v>76</v>
      </c>
      <c r="DC8" s="30" t="s">
        <v>76</v>
      </c>
      <c r="DD8" s="30"/>
      <c r="DE8" s="30"/>
      <c r="DF8" s="30"/>
      <c r="DG8" s="29"/>
      <c r="DH8" s="30" t="s">
        <v>76</v>
      </c>
      <c r="DI8" s="30"/>
      <c r="DJ8" s="160" t="s">
        <v>259</v>
      </c>
      <c r="DM8" s="29"/>
      <c r="DN8" s="30" t="s">
        <v>76</v>
      </c>
      <c r="DO8" s="30"/>
      <c r="DP8" s="30" t="s">
        <v>76</v>
      </c>
      <c r="DQ8" s="30" t="s">
        <v>76</v>
      </c>
      <c r="DR8" s="30"/>
      <c r="DS8" s="30"/>
      <c r="DT8" s="30"/>
      <c r="DU8" s="29"/>
      <c r="DV8" s="30" t="s">
        <v>76</v>
      </c>
      <c r="DW8" s="30"/>
      <c r="DX8" s="160" t="s">
        <v>259</v>
      </c>
      <c r="EA8" s="29"/>
      <c r="EB8" s="30" t="s">
        <v>76</v>
      </c>
      <c r="EC8" s="30"/>
      <c r="ED8" s="30" t="s">
        <v>76</v>
      </c>
      <c r="EE8" s="30" t="s">
        <v>76</v>
      </c>
      <c r="EF8" s="30"/>
      <c r="EG8" s="30"/>
      <c r="EH8" s="30"/>
      <c r="EI8" s="29"/>
      <c r="EJ8" s="30" t="s">
        <v>76</v>
      </c>
      <c r="EK8" s="30"/>
      <c r="EL8" s="160" t="s">
        <v>259</v>
      </c>
      <c r="EN8" s="31"/>
      <c r="EO8" s="30" t="s">
        <v>76</v>
      </c>
      <c r="ER8" s="32"/>
      <c r="ES8" s="33"/>
      <c r="ET8" s="86"/>
      <c r="EU8" s="86"/>
      <c r="EV8" s="49"/>
      <c r="EW8" s="59"/>
      <c r="EX8" s="59"/>
      <c r="FD8" s="160" t="s">
        <v>259</v>
      </c>
      <c r="FO8" s="160" t="s">
        <v>259</v>
      </c>
    </row>
    <row r="9" spans="1:181" s="62" customFormat="1" ht="20.25" hidden="1" customHeight="1" x14ac:dyDescent="0.25">
      <c r="A9" s="63" t="s">
        <v>258</v>
      </c>
      <c r="B9" s="62" t="s">
        <v>72</v>
      </c>
      <c r="C9" s="63" t="s">
        <v>341</v>
      </c>
      <c r="E9" s="160"/>
      <c r="L9" s="160"/>
      <c r="BA9" s="160"/>
      <c r="BF9" s="160"/>
      <c r="BG9" s="64"/>
      <c r="BH9" s="65"/>
      <c r="BI9" s="160"/>
      <c r="BJ9" s="65"/>
      <c r="BK9" s="65"/>
      <c r="BL9" s="65"/>
      <c r="BM9" s="65"/>
      <c r="BN9" s="65"/>
      <c r="BO9" s="65"/>
      <c r="BP9" s="160"/>
      <c r="BQ9" s="64"/>
      <c r="BR9" s="65"/>
      <c r="BS9" s="65"/>
      <c r="BT9" s="160"/>
      <c r="BW9" s="64"/>
      <c r="BX9" s="65"/>
      <c r="BY9" s="65"/>
      <c r="BZ9" s="65"/>
      <c r="CA9" s="65"/>
      <c r="CB9" s="65"/>
      <c r="CC9" s="65"/>
      <c r="CD9" s="65"/>
      <c r="CE9" s="64"/>
      <c r="CF9" s="65"/>
      <c r="CG9" s="65"/>
      <c r="CH9" s="160"/>
      <c r="CK9" s="64"/>
      <c r="CL9" s="65"/>
      <c r="CM9" s="65"/>
      <c r="CN9" s="65"/>
      <c r="CO9" s="65"/>
      <c r="CP9" s="65"/>
      <c r="CQ9" s="65"/>
      <c r="CR9" s="65"/>
      <c r="CS9" s="64"/>
      <c r="CT9" s="65"/>
      <c r="CU9" s="65"/>
      <c r="CV9" s="160"/>
      <c r="CY9" s="64"/>
      <c r="CZ9" s="65"/>
      <c r="DA9" s="65"/>
      <c r="DB9" s="65"/>
      <c r="DC9" s="65"/>
      <c r="DD9" s="65"/>
      <c r="DE9" s="65"/>
      <c r="DF9" s="65"/>
      <c r="DG9" s="64"/>
      <c r="DH9" s="65"/>
      <c r="DI9" s="65"/>
      <c r="DJ9" s="160"/>
      <c r="DM9" s="64"/>
      <c r="DN9" s="65"/>
      <c r="DO9" s="65"/>
      <c r="DP9" s="65"/>
      <c r="DQ9" s="65"/>
      <c r="DR9" s="65"/>
      <c r="DS9" s="65"/>
      <c r="DT9" s="65"/>
      <c r="DU9" s="64"/>
      <c r="DV9" s="65"/>
      <c r="DW9" s="65"/>
      <c r="DX9" s="160"/>
      <c r="EA9" s="64"/>
      <c r="EB9" s="65"/>
      <c r="EC9" s="65"/>
      <c r="ED9" s="65"/>
      <c r="EE9" s="65"/>
      <c r="EF9" s="65"/>
      <c r="EG9" s="65"/>
      <c r="EH9" s="65"/>
      <c r="EI9" s="64"/>
      <c r="EJ9" s="65"/>
      <c r="EK9" s="65"/>
      <c r="EL9" s="160"/>
      <c r="EN9" s="66"/>
      <c r="EO9" s="65"/>
      <c r="ER9" s="67"/>
      <c r="ES9" s="68"/>
      <c r="ET9" s="87"/>
      <c r="EU9" s="87"/>
      <c r="EV9" s="69"/>
      <c r="EW9" s="63"/>
      <c r="EX9" s="63"/>
      <c r="FD9" s="160"/>
      <c r="FO9" s="160"/>
    </row>
    <row r="10" spans="1:181" s="34" customFormat="1" ht="20.25" hidden="1" customHeight="1" x14ac:dyDescent="0.25">
      <c r="A10" s="34" t="s">
        <v>90</v>
      </c>
      <c r="B10" s="34" t="s">
        <v>0</v>
      </c>
      <c r="C10" s="34" t="s">
        <v>1</v>
      </c>
      <c r="D10" s="34" t="s">
        <v>2</v>
      </c>
      <c r="E10" s="160" t="s">
        <v>260</v>
      </c>
      <c r="F10" s="34" t="s">
        <v>3</v>
      </c>
      <c r="G10" s="34" t="s">
        <v>4</v>
      </c>
      <c r="H10" s="60" t="s">
        <v>5</v>
      </c>
      <c r="I10" s="34" t="s">
        <v>6</v>
      </c>
      <c r="J10" s="34" t="s">
        <v>7</v>
      </c>
      <c r="K10" s="34" t="s">
        <v>243</v>
      </c>
      <c r="L10" s="160" t="s">
        <v>261</v>
      </c>
      <c r="M10" s="34" t="s">
        <v>8</v>
      </c>
      <c r="N10" s="34" t="s">
        <v>9</v>
      </c>
      <c r="O10" s="34" t="s">
        <v>10</v>
      </c>
      <c r="P10" s="34" t="s">
        <v>11</v>
      </c>
      <c r="Q10" s="34" t="s">
        <v>12</v>
      </c>
      <c r="R10" s="34" t="s">
        <v>13</v>
      </c>
      <c r="S10" s="34" t="s">
        <v>14</v>
      </c>
      <c r="T10" s="34" t="s">
        <v>15</v>
      </c>
      <c r="U10" s="34" t="s">
        <v>16</v>
      </c>
      <c r="V10" s="34" t="s">
        <v>17</v>
      </c>
      <c r="W10" s="34" t="s">
        <v>18</v>
      </c>
      <c r="X10" s="34" t="s">
        <v>19</v>
      </c>
      <c r="Y10" s="34" t="s">
        <v>20</v>
      </c>
      <c r="Z10" s="34" t="s">
        <v>21</v>
      </c>
      <c r="AA10" s="34" t="s">
        <v>22</v>
      </c>
      <c r="AB10" s="34" t="s">
        <v>23</v>
      </c>
      <c r="AC10" s="34" t="s">
        <v>24</v>
      </c>
      <c r="AD10" s="34" t="s">
        <v>25</v>
      </c>
      <c r="AE10" s="34" t="s">
        <v>26</v>
      </c>
      <c r="AF10" s="34" t="s">
        <v>27</v>
      </c>
      <c r="AG10" s="34" t="s">
        <v>28</v>
      </c>
      <c r="AH10" s="34" t="s">
        <v>29</v>
      </c>
      <c r="AI10" s="34" t="s">
        <v>30</v>
      </c>
      <c r="AJ10" s="34" t="s">
        <v>31</v>
      </c>
      <c r="AK10" s="34" t="s">
        <v>32</v>
      </c>
      <c r="AL10" s="34" t="s">
        <v>33</v>
      </c>
      <c r="AM10" s="34" t="s">
        <v>34</v>
      </c>
      <c r="AN10" s="34" t="s">
        <v>35</v>
      </c>
      <c r="AO10" s="34" t="s">
        <v>36</v>
      </c>
      <c r="AP10" s="34" t="s">
        <v>37</v>
      </c>
      <c r="AQ10" s="34" t="s">
        <v>38</v>
      </c>
      <c r="AR10" s="34" t="s">
        <v>39</v>
      </c>
      <c r="AS10" s="34" t="s">
        <v>40</v>
      </c>
      <c r="AT10" s="34" t="s">
        <v>41</v>
      </c>
      <c r="AU10" s="34" t="s">
        <v>42</v>
      </c>
      <c r="AV10" s="34" t="s">
        <v>43</v>
      </c>
      <c r="AW10" s="34" t="s">
        <v>44</v>
      </c>
      <c r="AX10" s="34" t="s">
        <v>45</v>
      </c>
      <c r="AY10" s="34" t="s">
        <v>46</v>
      </c>
      <c r="AZ10" s="34" t="s">
        <v>47</v>
      </c>
      <c r="BA10" s="160" t="s">
        <v>262</v>
      </c>
      <c r="BB10" s="34" t="s">
        <v>48</v>
      </c>
      <c r="BC10" s="34" t="s">
        <v>49</v>
      </c>
      <c r="BD10" s="34" t="s">
        <v>50</v>
      </c>
      <c r="BE10" s="34" t="s">
        <v>51</v>
      </c>
      <c r="BF10" s="160" t="s">
        <v>339</v>
      </c>
      <c r="BG10" s="35" t="s">
        <v>52</v>
      </c>
      <c r="BH10" s="36" t="s">
        <v>53</v>
      </c>
      <c r="BI10" s="160" t="s">
        <v>263</v>
      </c>
      <c r="BJ10" s="36" t="s">
        <v>215</v>
      </c>
      <c r="BK10" s="36" t="s">
        <v>216</v>
      </c>
      <c r="BL10" s="36" t="s">
        <v>217</v>
      </c>
      <c r="BM10" s="36" t="s">
        <v>218</v>
      </c>
      <c r="BN10" s="36" t="s">
        <v>220</v>
      </c>
      <c r="BO10" s="36" t="s">
        <v>219</v>
      </c>
      <c r="BP10" s="160" t="s">
        <v>264</v>
      </c>
      <c r="BQ10" s="35" t="s">
        <v>54</v>
      </c>
      <c r="BR10" s="36" t="s">
        <v>55</v>
      </c>
      <c r="BS10" s="36" t="s">
        <v>92</v>
      </c>
      <c r="BT10" s="160" t="s">
        <v>265</v>
      </c>
      <c r="BU10" s="34" t="s">
        <v>333</v>
      </c>
      <c r="BV10" s="34" t="s">
        <v>274</v>
      </c>
      <c r="BW10" s="35" t="s">
        <v>273</v>
      </c>
      <c r="BX10" s="36" t="s">
        <v>275</v>
      </c>
      <c r="BY10" s="36" t="s">
        <v>276</v>
      </c>
      <c r="BZ10" s="36" t="s">
        <v>277</v>
      </c>
      <c r="CA10" s="36" t="s">
        <v>278</v>
      </c>
      <c r="CB10" s="36" t="s">
        <v>279</v>
      </c>
      <c r="CC10" s="36" t="s">
        <v>280</v>
      </c>
      <c r="CD10" s="36" t="s">
        <v>281</v>
      </c>
      <c r="CE10" s="35" t="s">
        <v>282</v>
      </c>
      <c r="CF10" s="36" t="s">
        <v>283</v>
      </c>
      <c r="CG10" s="36" t="s">
        <v>284</v>
      </c>
      <c r="CH10" s="160" t="s">
        <v>266</v>
      </c>
      <c r="CI10" s="34" t="s">
        <v>334</v>
      </c>
      <c r="CJ10" s="34" t="s">
        <v>285</v>
      </c>
      <c r="CK10" s="35" t="s">
        <v>322</v>
      </c>
      <c r="CL10" s="36" t="s">
        <v>323</v>
      </c>
      <c r="CM10" s="36" t="s">
        <v>324</v>
      </c>
      <c r="CN10" s="36" t="s">
        <v>325</v>
      </c>
      <c r="CO10" s="36" t="s">
        <v>326</v>
      </c>
      <c r="CP10" s="36" t="s">
        <v>327</v>
      </c>
      <c r="CQ10" s="36" t="s">
        <v>328</v>
      </c>
      <c r="CR10" s="36" t="s">
        <v>329</v>
      </c>
      <c r="CS10" s="35" t="s">
        <v>330</v>
      </c>
      <c r="CT10" s="36" t="s">
        <v>331</v>
      </c>
      <c r="CU10" s="36" t="s">
        <v>332</v>
      </c>
      <c r="CV10" s="160" t="s">
        <v>267</v>
      </c>
      <c r="CW10" s="34" t="s">
        <v>335</v>
      </c>
      <c r="CX10" s="34" t="s">
        <v>286</v>
      </c>
      <c r="CY10" s="35" t="s">
        <v>311</v>
      </c>
      <c r="CZ10" s="36" t="s">
        <v>312</v>
      </c>
      <c r="DA10" s="36" t="s">
        <v>313</v>
      </c>
      <c r="DB10" s="36" t="s">
        <v>314</v>
      </c>
      <c r="DC10" s="36" t="s">
        <v>315</v>
      </c>
      <c r="DD10" s="36" t="s">
        <v>316</v>
      </c>
      <c r="DE10" s="36" t="s">
        <v>317</v>
      </c>
      <c r="DF10" s="36" t="s">
        <v>318</v>
      </c>
      <c r="DG10" s="35" t="s">
        <v>319</v>
      </c>
      <c r="DH10" s="36" t="s">
        <v>320</v>
      </c>
      <c r="DI10" s="36" t="s">
        <v>321</v>
      </c>
      <c r="DJ10" s="160" t="s">
        <v>268</v>
      </c>
      <c r="DK10" s="34" t="s">
        <v>336</v>
      </c>
      <c r="DL10" s="34" t="s">
        <v>287</v>
      </c>
      <c r="DM10" s="35" t="s">
        <v>300</v>
      </c>
      <c r="DN10" s="36" t="s">
        <v>301</v>
      </c>
      <c r="DO10" s="36" t="s">
        <v>302</v>
      </c>
      <c r="DP10" s="36" t="s">
        <v>303</v>
      </c>
      <c r="DQ10" s="36" t="s">
        <v>304</v>
      </c>
      <c r="DR10" s="36" t="s">
        <v>305</v>
      </c>
      <c r="DS10" s="36" t="s">
        <v>306</v>
      </c>
      <c r="DT10" s="36" t="s">
        <v>307</v>
      </c>
      <c r="DU10" s="35" t="s">
        <v>308</v>
      </c>
      <c r="DV10" s="36" t="s">
        <v>309</v>
      </c>
      <c r="DW10" s="36" t="s">
        <v>310</v>
      </c>
      <c r="DX10" s="160" t="s">
        <v>269</v>
      </c>
      <c r="DY10" s="34" t="s">
        <v>337</v>
      </c>
      <c r="DZ10" s="34" t="s">
        <v>288</v>
      </c>
      <c r="EA10" s="35" t="s">
        <v>289</v>
      </c>
      <c r="EB10" s="36" t="s">
        <v>290</v>
      </c>
      <c r="EC10" s="36" t="s">
        <v>291</v>
      </c>
      <c r="ED10" s="36" t="s">
        <v>292</v>
      </c>
      <c r="EE10" s="36" t="s">
        <v>293</v>
      </c>
      <c r="EF10" s="36" t="s">
        <v>294</v>
      </c>
      <c r="EG10" s="36" t="s">
        <v>295</v>
      </c>
      <c r="EH10" s="36" t="s">
        <v>296</v>
      </c>
      <c r="EI10" s="35" t="s">
        <v>297</v>
      </c>
      <c r="EJ10" s="36" t="s">
        <v>298</v>
      </c>
      <c r="EK10" s="36" t="s">
        <v>299</v>
      </c>
      <c r="EL10" s="160" t="s">
        <v>271</v>
      </c>
      <c r="EM10" s="34" t="s">
        <v>56</v>
      </c>
      <c r="EN10" s="37" t="s">
        <v>57</v>
      </c>
      <c r="EO10" s="36" t="s">
        <v>58</v>
      </c>
      <c r="EP10" s="34" t="s">
        <v>59</v>
      </c>
      <c r="EQ10" s="34" t="s">
        <v>60</v>
      </c>
      <c r="ER10" s="38" t="s">
        <v>61</v>
      </c>
      <c r="ES10" s="39" t="s">
        <v>62</v>
      </c>
      <c r="ET10" s="88" t="s">
        <v>63</v>
      </c>
      <c r="EU10" s="88" t="s">
        <v>64</v>
      </c>
      <c r="EV10" s="50" t="s">
        <v>65</v>
      </c>
      <c r="EW10" s="60" t="s">
        <v>66</v>
      </c>
      <c r="EX10" s="60" t="s">
        <v>67</v>
      </c>
      <c r="EY10" s="34" t="s">
        <v>68</v>
      </c>
      <c r="EZ10" s="34" t="s">
        <v>69</v>
      </c>
      <c r="FA10" s="34" t="s">
        <v>70</v>
      </c>
      <c r="FB10" s="34" t="s">
        <v>91</v>
      </c>
      <c r="FC10" s="34" t="s">
        <v>71</v>
      </c>
      <c r="FD10" s="160" t="s">
        <v>270</v>
      </c>
      <c r="FE10" s="34" t="s">
        <v>155</v>
      </c>
      <c r="FF10" s="34" t="s">
        <v>154</v>
      </c>
      <c r="FG10" s="34" t="s">
        <v>153</v>
      </c>
      <c r="FH10" s="34" t="s">
        <v>156</v>
      </c>
      <c r="FI10" s="34" t="s">
        <v>157</v>
      </c>
      <c r="FJ10" s="34" t="s">
        <v>158</v>
      </c>
      <c r="FK10" s="34" t="s">
        <v>159</v>
      </c>
      <c r="FL10" s="34" t="s">
        <v>160</v>
      </c>
      <c r="FM10" s="34" t="s">
        <v>161</v>
      </c>
      <c r="FN10" s="34" t="s">
        <v>162</v>
      </c>
      <c r="FO10" s="160" t="s">
        <v>272</v>
      </c>
      <c r="FP10" s="34" t="s">
        <v>214</v>
      </c>
      <c r="FQ10" s="34" t="s">
        <v>213</v>
      </c>
      <c r="FR10" s="34" t="s">
        <v>212</v>
      </c>
      <c r="FS10" s="34" t="s">
        <v>211</v>
      </c>
      <c r="FT10" s="34" t="s">
        <v>210</v>
      </c>
      <c r="FU10" s="34" t="s">
        <v>209</v>
      </c>
      <c r="FV10" s="34" t="s">
        <v>208</v>
      </c>
      <c r="FW10" s="34" t="s">
        <v>207</v>
      </c>
      <c r="FX10" s="34" t="s">
        <v>206</v>
      </c>
      <c r="FY10" s="34" t="s">
        <v>205</v>
      </c>
    </row>
    <row r="11" spans="1:181" s="141" customFormat="1" ht="51" x14ac:dyDescent="0.25">
      <c r="A11" s="141" t="str">
        <f>mehrsprachigkeitBegriffsrückgabe(gewählteSpracheZurückgeben(),"Sort number")</f>
        <v>Sortiernummer</v>
      </c>
      <c r="B11" s="141" t="str">
        <f>mehrsprachigkeitBegriffsrückgabe(gewählteSpracheZurückgeben(),"Ignore")</f>
        <v>Importsperre</v>
      </c>
      <c r="C11" s="141" t="str">
        <f>mehrsprachigkeitBegriffsrückgabe(gewählteSpracheZurückgeben(),"Delete")</f>
        <v>Löschen</v>
      </c>
      <c r="D11" s="141" t="str">
        <f>mehrsprachigkeitBegriffsrückgabe(gewählteSpracheZurückgeben(),"Publish")</f>
        <v>Veröffentlichen</v>
      </c>
      <c r="E11" s="161"/>
      <c r="F11" s="141" t="str">
        <f>mehrsprachigkeitBegriffsrückgabe(gewählteSpracheZurückgeben(),"Type")</f>
        <v>Typ</v>
      </c>
      <c r="G11" s="141" t="str">
        <f>mehrsprachigkeitBegriffsrückgabe(gewählteSpracheZurückgeben(),"Product code")</f>
        <v>Artikel-Nr.</v>
      </c>
      <c r="H11" s="141" t="str">
        <f>mehrsprachigkeitBegriffsrückgabe(gewählteSpracheZurückgeben(),"Parent product code")</f>
        <v>Übergeordnete Artikel-Nr.</v>
      </c>
      <c r="I11" s="141" t="str">
        <f>mehrsprachigkeitBegriffsrückgabe(gewählteSpracheZurückgeben(),"Language")</f>
        <v>Sprache</v>
      </c>
      <c r="J11" s="141" t="str">
        <f>mehrsprachigkeitBegriffsrückgabe(gewählteSpracheZurückgeben(),"Name")</f>
        <v>Bezeichnung</v>
      </c>
      <c r="K11" s="141" t="str">
        <f>mehrsprachigkeitBegriffsrückgabe(gewählteSpracheZurückgeben(),"Alias")</f>
        <v>Alias</v>
      </c>
      <c r="L11" s="161"/>
      <c r="M11" s="141" t="str">
        <f>mehrsprachigkeitBegriffsrückgabe(gewählteSpracheZurückgeben(),"Property 01")</f>
        <v>Merkmal 01</v>
      </c>
      <c r="N11" s="141" t="str">
        <f>mehrsprachigkeitBegriffsrückgabe(gewählteSpracheZurückgeben(),"Value 01")</f>
        <v>Ausprägung 01</v>
      </c>
      <c r="O11" s="141" t="str">
        <f>mehrsprachigkeitBegriffsrückgabe(gewählteSpracheZurückgeben(),"Property 02")</f>
        <v>Merkmal 02</v>
      </c>
      <c r="P11" s="141" t="str">
        <f>mehrsprachigkeitBegriffsrückgabe(gewählteSpracheZurückgeben(),"Value 02")</f>
        <v>Ausprägung 02</v>
      </c>
      <c r="Q11" s="141" t="str">
        <f>mehrsprachigkeitBegriffsrückgabe(gewählteSpracheZurückgeben(),"Property 03")</f>
        <v>Merkmal 03</v>
      </c>
      <c r="R11" s="141" t="str">
        <f>mehrsprachigkeitBegriffsrückgabe(gewählteSpracheZurückgeben(),"Value 03")</f>
        <v>Ausprägung 03</v>
      </c>
      <c r="S11" s="141" t="str">
        <f>mehrsprachigkeitBegriffsrückgabe(gewählteSpracheZurückgeben(),"Property 04")</f>
        <v>Merkmal 04</v>
      </c>
      <c r="T11" s="141" t="str">
        <f>mehrsprachigkeitBegriffsrückgabe(gewählteSpracheZurückgeben(),"Value 04")</f>
        <v>Ausprägung 04</v>
      </c>
      <c r="U11" s="141" t="str">
        <f>mehrsprachigkeitBegriffsrückgabe(gewählteSpracheZurückgeben(),"Property 05")</f>
        <v>Merkmal 05</v>
      </c>
      <c r="V11" s="141" t="str">
        <f>mehrsprachigkeitBegriffsrückgabe(gewählteSpracheZurückgeben(),"Value 05")</f>
        <v>Ausprägung 05</v>
      </c>
      <c r="W11" s="141" t="str">
        <f>mehrsprachigkeitBegriffsrückgabe(gewählteSpracheZurückgeben(),"Property 06")</f>
        <v>Merkmal 06</v>
      </c>
      <c r="X11" s="141" t="str">
        <f>mehrsprachigkeitBegriffsrückgabe(gewählteSpracheZurückgeben(),"Value 06")</f>
        <v>Ausprägung 06</v>
      </c>
      <c r="Y11" s="141" t="str">
        <f>mehrsprachigkeitBegriffsrückgabe(gewählteSpracheZurückgeben(),"Property 07")</f>
        <v>Merkmal 07</v>
      </c>
      <c r="Z11" s="141" t="str">
        <f>mehrsprachigkeitBegriffsrückgabe(gewählteSpracheZurückgeben(),"Value 07")</f>
        <v>Ausprägung 07</v>
      </c>
      <c r="AA11" s="141" t="str">
        <f>mehrsprachigkeitBegriffsrückgabe(gewählteSpracheZurückgeben(),"Property 08")</f>
        <v>Merkmal 08</v>
      </c>
      <c r="AB11" s="141" t="str">
        <f>mehrsprachigkeitBegriffsrückgabe(gewählteSpracheZurückgeben(),"Value 08")</f>
        <v>Ausprägung 08</v>
      </c>
      <c r="AC11" s="141" t="str">
        <f>mehrsprachigkeitBegriffsrückgabe(gewählteSpracheZurückgeben(),"Property 09")</f>
        <v>Merkmal 09</v>
      </c>
      <c r="AD11" s="141" t="str">
        <f>mehrsprachigkeitBegriffsrückgabe(gewählteSpracheZurückgeben(),"Value 09")</f>
        <v>Ausprägung 09</v>
      </c>
      <c r="AE11" s="141" t="str">
        <f>mehrsprachigkeitBegriffsrückgabe(gewählteSpracheZurückgeben(),"Property 10")</f>
        <v>Merkmal 10</v>
      </c>
      <c r="AF11" s="141" t="str">
        <f>mehrsprachigkeitBegriffsrückgabe(gewählteSpracheZurückgeben(),"Value 10")</f>
        <v>Ausprägung 10</v>
      </c>
      <c r="AG11" s="141" t="str">
        <f>mehrsprachigkeitBegriffsrückgabe(gewählteSpracheZurückgeben(),"Property 11")</f>
        <v>Merkmal 11</v>
      </c>
      <c r="AH11" s="141" t="str">
        <f>mehrsprachigkeitBegriffsrückgabe(gewählteSpracheZurückgeben(),"Value 11")</f>
        <v>Ausprägung 11</v>
      </c>
      <c r="AI11" s="141" t="str">
        <f>mehrsprachigkeitBegriffsrückgabe(gewählteSpracheZurückgeben(),"Property 12")</f>
        <v>Merkmal 12</v>
      </c>
      <c r="AJ11" s="141" t="str">
        <f>mehrsprachigkeitBegriffsrückgabe(gewählteSpracheZurückgeben(),"Value 12")</f>
        <v>Ausprägung 12</v>
      </c>
      <c r="AK11" s="141" t="str">
        <f>mehrsprachigkeitBegriffsrückgabe(gewählteSpracheZurückgeben(),"Property 13")</f>
        <v>Merkmal 13</v>
      </c>
      <c r="AL11" s="141" t="str">
        <f>mehrsprachigkeitBegriffsrückgabe(gewählteSpracheZurückgeben(),"Value 13")</f>
        <v>Ausprägung 13</v>
      </c>
      <c r="AM11" s="141" t="str">
        <f>mehrsprachigkeitBegriffsrückgabe(gewählteSpracheZurückgeben(),"Property 14")</f>
        <v>Merkmal 14</v>
      </c>
      <c r="AN11" s="141" t="str">
        <f>mehrsprachigkeitBegriffsrückgabe(gewählteSpracheZurückgeben(),"Value 14")</f>
        <v>Ausprägung 14</v>
      </c>
      <c r="AO11" s="141" t="str">
        <f>mehrsprachigkeitBegriffsrückgabe(gewählteSpracheZurückgeben(),"Property 15")</f>
        <v>Merkmal 15</v>
      </c>
      <c r="AP11" s="141" t="str">
        <f>mehrsprachigkeitBegriffsrückgabe(gewählteSpracheZurückgeben(),"Value 15")</f>
        <v>Ausprägung 15</v>
      </c>
      <c r="AQ11" s="141" t="str">
        <f>mehrsprachigkeitBegriffsrückgabe(gewählteSpracheZurückgeben(),"Property 16")</f>
        <v>Merkmal 16</v>
      </c>
      <c r="AR11" s="141" t="str">
        <f>mehrsprachigkeitBegriffsrückgabe(gewählteSpracheZurückgeben(),"Value 16")</f>
        <v>Ausprägung 16</v>
      </c>
      <c r="AS11" s="141" t="str">
        <f>mehrsprachigkeitBegriffsrückgabe(gewählteSpracheZurückgeben(),"Property 17")</f>
        <v>Merkmal 17</v>
      </c>
      <c r="AT11" s="141" t="str">
        <f>mehrsprachigkeitBegriffsrückgabe(gewählteSpracheZurückgeben(),"Value 17")</f>
        <v>Ausprägung 17</v>
      </c>
      <c r="AU11" s="141" t="str">
        <f>mehrsprachigkeitBegriffsrückgabe(gewählteSpracheZurückgeben(),"Property 18")</f>
        <v>Merkmal 18</v>
      </c>
      <c r="AV11" s="141" t="str">
        <f>mehrsprachigkeitBegriffsrückgabe(gewählteSpracheZurückgeben(),"Value 18")</f>
        <v>Ausprägung 18</v>
      </c>
      <c r="AW11" s="141" t="str">
        <f>mehrsprachigkeitBegriffsrückgabe(gewählteSpracheZurückgeben(),"Property 19")</f>
        <v>Merkmal 19</v>
      </c>
      <c r="AX11" s="141" t="str">
        <f>mehrsprachigkeitBegriffsrückgabe(gewählteSpracheZurückgeben(),"Value 19")</f>
        <v>Ausprägung 19</v>
      </c>
      <c r="AY11" s="141" t="str">
        <f>mehrsprachigkeitBegriffsrückgabe(gewählteSpracheZurückgeben(),"Property 20")</f>
        <v>Merkmal 20</v>
      </c>
      <c r="AZ11" s="141" t="str">
        <f>mehrsprachigkeitBegriffsrückgabe(gewählteSpracheZurückgeben(),"Value 20")</f>
        <v>Ausprägung 20</v>
      </c>
      <c r="BA11" s="161"/>
      <c r="BB11" s="141" t="str">
        <f>mehrsprachigkeitBegriffsrückgabe(gewählteSpracheZurückgeben(),"Description")</f>
        <v>Beschreibung</v>
      </c>
      <c r="BC11" s="141" t="str">
        <f>mehrsprachigkeitBegriffsrückgabe(gewählteSpracheZurückgeben(),"Short description")</f>
        <v>Kurzbeschreibung</v>
      </c>
      <c r="BD11" s="141" t="str">
        <f>mehrsprachigkeitBegriffsrückgabe(gewählteSpracheZurückgeben(),"Category")</f>
        <v>Kategorie</v>
      </c>
      <c r="BE11" s="141" t="str">
        <f>mehrsprachigkeitBegriffsrückgabe(gewählteSpracheZurückgeben(),"Producer")</f>
        <v>Hersteller</v>
      </c>
      <c r="BF11" s="161"/>
      <c r="BG11" s="142" t="str">
        <f>mehrsprachigkeitBegriffsrückgabe(gewählteSpracheZurückgeben(),"Price")</f>
        <v>Preis</v>
      </c>
      <c r="BH11" s="141" t="str">
        <f>mehrsprachigkeitBegriffsrückgabe(gewählteSpracheZurückgeben(),"Price: price type")</f>
        <v>Preis: Art der Preisangabe</v>
      </c>
      <c r="BI11" s="161"/>
      <c r="BJ11" s="141" t="str">
        <f>mehrsprachigkeitBegriffsrückgabe(gewählteSpracheZurückgeben(),"Use scale price")</f>
        <v>Staffelpreis anwenden</v>
      </c>
      <c r="BK11" s="141" t="str">
        <f>mehrsprachigkeitBegriffsrückgabe(gewählteSpracheZurückgeben(),"Scale price type")</f>
        <v>Art der Staffelpreisangabe</v>
      </c>
      <c r="BL11" s="141" t="str">
        <f>mehrsprachigkeitBegriffsrückgabe(gewählteSpracheZurückgeben(),"Quantity detection method")</f>
        <v>Methode zur Mengenermittlung</v>
      </c>
      <c r="BM11" s="141" t="str">
        <f>mehrsprachigkeitBegriffsrückgabe(gewählteSpracheZurückgeben(),"Always separate different configurations")</f>
        <v>Unterschiedliche Konfigurationen stets trennen</v>
      </c>
      <c r="BN11" s="141" t="str">
        <f>mehrsprachigkeitBegriffsrückgabe(gewählteSpracheZurückgeben(),"Scale price keyword")</f>
        <v>Staffelpreis-Schlüsselwort</v>
      </c>
      <c r="BO11" s="141" t="str">
        <f>mehrsprachigkeitBegriffsrückgabe(gewählteSpracheZurückgeben(),"Scale price")</f>
        <v>Staffelpreis</v>
      </c>
      <c r="BP11" s="161"/>
      <c r="BQ11" s="142" t="str">
        <f>mehrsprachigkeitBegriffsrückgabe(gewählteSpracheZurückgeben(),"Old price")</f>
        <v>Alter Preis</v>
      </c>
      <c r="BR11" s="141" t="str">
        <f>mehrsprachigkeitBegriffsrückgabe(gewählteSpracheZurückgeben(),"Old price: price type")</f>
        <v>Alter Preis: Art der Preisangabe</v>
      </c>
      <c r="BS11" s="141" t="str">
        <f>mehrsprachigkeitBegriffsrückgabe(gewählteSpracheZurückgeben(),"Old price: Use")</f>
        <v>Alter Preis: Verwenden</v>
      </c>
      <c r="BT11" s="161"/>
      <c r="BU11" s="154" t="str">
        <f>mehrsprachigkeitBegriffsrückgabe(gewählteSpracheZurückgeben(),"[G1] Use group prices")</f>
        <v>[G1] Gruppenpreis anwenden</v>
      </c>
      <c r="BV11" s="154" t="str">
        <f>mehrsprachigkeitBegriffsrückgabe(gewählteSpracheZurückgeben(),"[G1] Member groups")</f>
        <v>[G1] Mitgliedergruppen</v>
      </c>
      <c r="BW11" s="155" t="str">
        <f>mehrsprachigkeitBegriffsrückgabe(gewählteSpracheZurückgeben(),"[G1] Price")</f>
        <v>[G1] Preis</v>
      </c>
      <c r="BX11" s="154" t="str">
        <f>mehrsprachigkeitBegriffsrückgabe(gewählteSpracheZurückgeben(),"[G1] Price: Price type")</f>
        <v>[G1] Preis: Art der Preisangabe</v>
      </c>
      <c r="BY11" s="154" t="str">
        <f>mehrsprachigkeitBegriffsrückgabe(gewählteSpracheZurückgeben(),"[G1] Use scale price")</f>
        <v>[G1] Staffelpreis anwenden</v>
      </c>
      <c r="BZ11" s="154" t="str">
        <f>mehrsprachigkeitBegriffsrückgabe(gewählteSpracheZurückgeben(),"[G1] Scale price type")</f>
        <v>[G1] Art der Staffelpreisangabe</v>
      </c>
      <c r="CA11" s="154" t="str">
        <f>mehrsprachigkeitBegriffsrückgabe(gewählteSpracheZurückgeben(),"[G1] Quantity detection method")</f>
        <v>[G1] Methode zur Mengenermittlung</v>
      </c>
      <c r="CB11" s="154" t="str">
        <f>mehrsprachigkeitBegriffsrückgabe(gewählteSpracheZurückgeben(),"[G1] Always separate different configurations")</f>
        <v>[G1] Unterschiedliche Konfigurationen stets trennen</v>
      </c>
      <c r="CC11" s="154" t="str">
        <f>mehrsprachigkeitBegriffsrückgabe(gewählteSpracheZurückgeben(),"[G1] Scale price keyword")</f>
        <v>[G1] Staffelpreis-Schlüsselwort</v>
      </c>
      <c r="CD11" s="154" t="str">
        <f>mehrsprachigkeitBegriffsrückgabe(gewählteSpracheZurückgeben(),"[G1] Scale price")</f>
        <v>[G1] Staffelpreis</v>
      </c>
      <c r="CE11" s="155" t="str">
        <f>mehrsprachigkeitBegriffsrückgabe(gewählteSpracheZurückgeben(),"[G1] Old price")</f>
        <v>[G1] Alter Preis</v>
      </c>
      <c r="CF11" s="154" t="str">
        <f>mehrsprachigkeitBegriffsrückgabe(gewählteSpracheZurückgeben(),"[G1] Old price: Price type")</f>
        <v>[G1] Alter Preis: Art der Preisangabe</v>
      </c>
      <c r="CG11" s="154" t="str">
        <f>mehrsprachigkeitBegriffsrückgabe(gewählteSpracheZurückgeben(),"[G1] Old price: Use")</f>
        <v>[G1] Alter Preis: Verwenden</v>
      </c>
      <c r="CH11" s="161"/>
      <c r="CI11" s="154" t="str">
        <f>mehrsprachigkeitBegriffsrückgabe(gewählteSpracheZurückgeben(),"[G2] Use group prices")</f>
        <v>[G2] Gruppenpreis anwenden</v>
      </c>
      <c r="CJ11" s="154" t="str">
        <f>mehrsprachigkeitBegriffsrückgabe(gewählteSpracheZurückgeben(),"[G2] Member groups")</f>
        <v>[G2] Mitgliedergruppen</v>
      </c>
      <c r="CK11" s="155" t="str">
        <f>mehrsprachigkeitBegriffsrückgabe(gewählteSpracheZurückgeben(),"[G2] Price")</f>
        <v>[G2] Preis</v>
      </c>
      <c r="CL11" s="154" t="str">
        <f>mehrsprachigkeitBegriffsrückgabe(gewählteSpracheZurückgeben(),"[G2] Price: Price type")</f>
        <v>[G2] Preis: Art der Preisangabe</v>
      </c>
      <c r="CM11" s="154" t="str">
        <f>mehrsprachigkeitBegriffsrückgabe(gewählteSpracheZurückgeben(),"[G2] Use scale price")</f>
        <v>[G2] Staffelpreis anwenden</v>
      </c>
      <c r="CN11" s="154" t="str">
        <f>mehrsprachigkeitBegriffsrückgabe(gewählteSpracheZurückgeben(),"[G2] Scale price type")</f>
        <v>[G2] Art der Staffelpreisangabe</v>
      </c>
      <c r="CO11" s="154" t="str">
        <f>mehrsprachigkeitBegriffsrückgabe(gewählteSpracheZurückgeben(),"[G2] Quantity detection method")</f>
        <v>[G2] Methode zur Mengenermittlung</v>
      </c>
      <c r="CP11" s="154" t="str">
        <f>mehrsprachigkeitBegriffsrückgabe(gewählteSpracheZurückgeben(),"[G2] Always separate different configurations")</f>
        <v>[G2] Unterschiedliche Konfigurationen stets trennen</v>
      </c>
      <c r="CQ11" s="154" t="str">
        <f>mehrsprachigkeitBegriffsrückgabe(gewählteSpracheZurückgeben(),"[G2] Scale price keyword")</f>
        <v>[G2] Staffelpreis-Schlüsselwort</v>
      </c>
      <c r="CR11" s="154" t="str">
        <f>mehrsprachigkeitBegriffsrückgabe(gewählteSpracheZurückgeben(),"[G2] Scale price")</f>
        <v>[G2] Staffelpreis</v>
      </c>
      <c r="CS11" s="155" t="str">
        <f>mehrsprachigkeitBegriffsrückgabe(gewählteSpracheZurückgeben(),"[G2] Old price")</f>
        <v>[G2] Alter Preis</v>
      </c>
      <c r="CT11" s="154" t="str">
        <f>mehrsprachigkeitBegriffsrückgabe(gewählteSpracheZurückgeben(),"[G2] Old price: Price type")</f>
        <v>[G2] Alter Preis: Art der Preisangabe</v>
      </c>
      <c r="CU11" s="154" t="str">
        <f>mehrsprachigkeitBegriffsrückgabe(gewählteSpracheZurückgeben(),"[G2] Old price: Use")</f>
        <v>[G2] Alter Preis: Verwenden</v>
      </c>
      <c r="CV11" s="161"/>
      <c r="CW11" s="154" t="str">
        <f>mehrsprachigkeitBegriffsrückgabe(gewählteSpracheZurückgeben(),"[G3] Use group prices")</f>
        <v>[G3] Gruppenpreis anwenden</v>
      </c>
      <c r="CX11" s="154" t="str">
        <f>mehrsprachigkeitBegriffsrückgabe(gewählteSpracheZurückgeben(),"[G3] Member groups")</f>
        <v>[G3] Mitgliedergruppen</v>
      </c>
      <c r="CY11" s="155" t="str">
        <f>mehrsprachigkeitBegriffsrückgabe(gewählteSpracheZurückgeben(),"[G3] Price")</f>
        <v>[G3] Preis</v>
      </c>
      <c r="CZ11" s="154" t="str">
        <f>mehrsprachigkeitBegriffsrückgabe(gewählteSpracheZurückgeben(),"[G3] Price: Price type")</f>
        <v>[G3] Preis: Art der Preisangabe</v>
      </c>
      <c r="DA11" s="154" t="str">
        <f>mehrsprachigkeitBegriffsrückgabe(gewählteSpracheZurückgeben(),"[G3] Use scale price")</f>
        <v>[G3] Staffelpreis anwenden</v>
      </c>
      <c r="DB11" s="154" t="str">
        <f>mehrsprachigkeitBegriffsrückgabe(gewählteSpracheZurückgeben(),"[G3] Scale price type")</f>
        <v>[G3] Art der Staffelpreisangabe</v>
      </c>
      <c r="DC11" s="154" t="str">
        <f>mehrsprachigkeitBegriffsrückgabe(gewählteSpracheZurückgeben(),"[G3] Quantity detection method")</f>
        <v>[G3] Methode zur Mengenermittlung</v>
      </c>
      <c r="DD11" s="154" t="str">
        <f>mehrsprachigkeitBegriffsrückgabe(gewählteSpracheZurückgeben(),"[G3] Always separate different configurations")</f>
        <v>[G3] Unterschiedliche Konfigurationen stets trennen</v>
      </c>
      <c r="DE11" s="154" t="str">
        <f>mehrsprachigkeitBegriffsrückgabe(gewählteSpracheZurückgeben(),"[G3] Scale price keyword")</f>
        <v>[G3] Staffelpreis-Schlüsselwort</v>
      </c>
      <c r="DF11" s="154" t="str">
        <f>mehrsprachigkeitBegriffsrückgabe(gewählteSpracheZurückgeben(),"[G3] Scale price")</f>
        <v>[G3] Staffelpreis</v>
      </c>
      <c r="DG11" s="155" t="str">
        <f>mehrsprachigkeitBegriffsrückgabe(gewählteSpracheZurückgeben(),"[G3] Old price")</f>
        <v>[G3] Alter Preis</v>
      </c>
      <c r="DH11" s="154" t="str">
        <f>mehrsprachigkeitBegriffsrückgabe(gewählteSpracheZurückgeben(),"[G3] Old price: Price type")</f>
        <v>[G3] Alter Preis: Art der Preisangabe</v>
      </c>
      <c r="DI11" s="154" t="str">
        <f>mehrsprachigkeitBegriffsrückgabe(gewählteSpracheZurückgeben(),"[G3] Old price: Use")</f>
        <v>[G3] Alter Preis: Verwenden</v>
      </c>
      <c r="DJ11" s="161"/>
      <c r="DK11" s="154" t="str">
        <f>mehrsprachigkeitBegriffsrückgabe(gewählteSpracheZurückgeben(),"[G4] Use group prices")</f>
        <v>[G4] Gruppenpreis anwenden</v>
      </c>
      <c r="DL11" s="154" t="str">
        <f>mehrsprachigkeitBegriffsrückgabe(gewählteSpracheZurückgeben(),"[G4] Member groups")</f>
        <v>[G4] Mitgliedergruppen</v>
      </c>
      <c r="DM11" s="155" t="str">
        <f>mehrsprachigkeitBegriffsrückgabe(gewählteSpracheZurückgeben(),"[G4] Price")</f>
        <v>[G4] Preis</v>
      </c>
      <c r="DN11" s="154" t="str">
        <f>mehrsprachigkeitBegriffsrückgabe(gewählteSpracheZurückgeben(),"[G4] Price: Price type")</f>
        <v>[G4] Preis: Art der Preisangabe</v>
      </c>
      <c r="DO11" s="154" t="str">
        <f>mehrsprachigkeitBegriffsrückgabe(gewählteSpracheZurückgeben(),"[G4] Use scale price")</f>
        <v>[G4] Staffelpreis anwenden</v>
      </c>
      <c r="DP11" s="154" t="str">
        <f>mehrsprachigkeitBegriffsrückgabe(gewählteSpracheZurückgeben(),"[G4] Scale price type")</f>
        <v>[G4] Art der Staffelpreisangabe</v>
      </c>
      <c r="DQ11" s="154" t="str">
        <f>mehrsprachigkeitBegriffsrückgabe(gewählteSpracheZurückgeben(),"[G4] Quantity detection method")</f>
        <v>[G4] Methode zur Mengenermittlung</v>
      </c>
      <c r="DR11" s="154" t="str">
        <f>mehrsprachigkeitBegriffsrückgabe(gewählteSpracheZurückgeben(),"[G4] Always separate different configurations")</f>
        <v>[G4] Unterschiedliche Konfigurationen stets trennen</v>
      </c>
      <c r="DS11" s="154" t="str">
        <f>mehrsprachigkeitBegriffsrückgabe(gewählteSpracheZurückgeben(),"[G4] Scale price keyword")</f>
        <v>[G4] Staffelpreis-Schlüsselwort</v>
      </c>
      <c r="DT11" s="154" t="str">
        <f>mehrsprachigkeitBegriffsrückgabe(gewählteSpracheZurückgeben(),"[G4] Scale price")</f>
        <v>[G4] Staffelpreis</v>
      </c>
      <c r="DU11" s="155" t="str">
        <f>mehrsprachigkeitBegriffsrückgabe(gewählteSpracheZurückgeben(),"[G4] Old price")</f>
        <v>[G4] Alter Preis</v>
      </c>
      <c r="DV11" s="154" t="str">
        <f>mehrsprachigkeitBegriffsrückgabe(gewählteSpracheZurückgeben(),"[G4] Old price: Price type")</f>
        <v>[G4] Alter Preis: Art der Preisangabe</v>
      </c>
      <c r="DW11" s="154" t="str">
        <f>mehrsprachigkeitBegriffsrückgabe(gewählteSpracheZurückgeben(),"[G4] Old price: Use")</f>
        <v>[G4] Alter Preis: Verwenden</v>
      </c>
      <c r="DX11" s="161"/>
      <c r="DY11" s="154" t="str">
        <f>mehrsprachigkeitBegriffsrückgabe(gewählteSpracheZurückgeben(),"[G5] Use group prices")</f>
        <v>[G5] Gruppenpreise anwenden</v>
      </c>
      <c r="DZ11" s="154" t="str">
        <f>mehrsprachigkeitBegriffsrückgabe(gewählteSpracheZurückgeben(),"[G5] Member groups")</f>
        <v>[G5] Mitgliedergruppen</v>
      </c>
      <c r="EA11" s="155" t="str">
        <f>mehrsprachigkeitBegriffsrückgabe(gewählteSpracheZurückgeben(),"[G5] Price")</f>
        <v>[G5] Preis</v>
      </c>
      <c r="EB11" s="154" t="str">
        <f>mehrsprachigkeitBegriffsrückgabe(gewählteSpracheZurückgeben(),"[G5] Price: Price type")</f>
        <v>[G5] Preis: Art der Preisangabe</v>
      </c>
      <c r="EC11" s="154" t="str">
        <f>mehrsprachigkeitBegriffsrückgabe(gewählteSpracheZurückgeben(),"[G5] Use scale price")</f>
        <v>[G5] Staffelpreis anwenden</v>
      </c>
      <c r="ED11" s="154" t="str">
        <f>mehrsprachigkeitBegriffsrückgabe(gewählteSpracheZurückgeben(),"[G5] Scale price type")</f>
        <v>[G5] Art der Staffelpreisangabe</v>
      </c>
      <c r="EE11" s="154" t="str">
        <f>mehrsprachigkeitBegriffsrückgabe(gewählteSpracheZurückgeben(),"[G5] Quantity detection method")</f>
        <v>[G5] Methode zur Mengenermittlung</v>
      </c>
      <c r="EF11" s="154" t="str">
        <f>mehrsprachigkeitBegriffsrückgabe(gewählteSpracheZurückgeben(),"[G5] Always separate different configurations")</f>
        <v>[G5] Unterschiedliche Konfigurationen stets trennen</v>
      </c>
      <c r="EG11" s="154" t="str">
        <f>mehrsprachigkeitBegriffsrückgabe(gewählteSpracheZurückgeben(),"[G5] Scale price keyword")</f>
        <v>[G5] Staffelpreis-Schlüsselwort</v>
      </c>
      <c r="EH11" s="154" t="str">
        <f>mehrsprachigkeitBegriffsrückgabe(gewählteSpracheZurückgeben(),"[G5] Scale price")</f>
        <v>[G5] Staffelpreis</v>
      </c>
      <c r="EI11" s="155" t="str">
        <f>mehrsprachigkeitBegriffsrückgabe(gewählteSpracheZurückgeben(),"[G5] Old price")</f>
        <v>[G5] Alter Preis</v>
      </c>
      <c r="EJ11" s="154" t="str">
        <f>mehrsprachigkeitBegriffsrückgabe(gewählteSpracheZurückgeben(),"[G5] Old price: Price type")</f>
        <v>[G5] Alter Preis: Art der Preisangabe</v>
      </c>
      <c r="EK11" s="154" t="str">
        <f>mehrsprachigkeitBegriffsrückgabe(gewählteSpracheZurückgeben(),"[G5] Old price: Use")</f>
        <v>[G5] Alter Preis: Verwenden</v>
      </c>
      <c r="EL11" s="161"/>
      <c r="EM11" s="141" t="str">
        <f>mehrsprachigkeitBegriffsrückgabe(gewählteSpracheZurückgeben(),"Tax class")</f>
        <v>Steuersatz</v>
      </c>
      <c r="EN11" s="143" t="str">
        <f>mehrsprachigkeitBegriffsrückgabe(gewählteSpracheZurückgeben(),"Weight")</f>
        <v>Gewicht</v>
      </c>
      <c r="EO11" s="141" t="str">
        <f>mehrsprachigkeitBegriffsrückgabe(gewählteSpracheZurückgeben(),"Weight type")</f>
        <v>Art der Gewichtsangabe</v>
      </c>
      <c r="EP11" s="141" t="str">
        <f>mehrsprachigkeitBegriffsrückgabe(gewählteSpracheZurückgeben(),"Unit")</f>
        <v>Mengeneinheit</v>
      </c>
      <c r="EQ11" s="141" t="str">
        <f>mehrsprachigkeitBegriffsrückgabe(gewählteSpracheZurückgeben(),"Quantity comparison unit")</f>
        <v>Einheit für Mengenvergleichspreis</v>
      </c>
      <c r="ER11" s="144" t="str">
        <f>mehrsprachigkeitBegriffsrückgabe(gewählteSpracheZurückgeben(),"Quantity comparison divisor")</f>
        <v>Teiler zur Berechnung des Mengenvergleichspreises</v>
      </c>
      <c r="ES11" s="145" t="str">
        <f>mehrsprachigkeitBegriffsrückgabe(gewählteSpracheZurückgeben(),"Quantity decimals")</f>
        <v>Nachkommastellen für die Menge</v>
      </c>
      <c r="ET11" s="141" t="str">
        <f>mehrsprachigkeitBegriffsrückgabe(gewählteSpracheZurückgeben(),"New")</f>
        <v>Neuheit</v>
      </c>
      <c r="EU11" s="141" t="str">
        <f>mehrsprachigkeitBegriffsrückgabe(gewählteSpracheZurückgeben(),"On sale")</f>
        <v>Sonderpreis</v>
      </c>
      <c r="EV11" s="141" t="str">
        <f>mehrsprachigkeitBegriffsrückgabe(gewählteSpracheZurückgeben(),"Keywords")</f>
        <v>Schlüsselwörter</v>
      </c>
      <c r="EW11" s="146" t="str">
        <f>mehrsprachigkeitBegriffsrückgabe(gewählteSpracheZurückgeben(),"Image")</f>
        <v>Hauptbild</v>
      </c>
      <c r="EX11" s="146" t="str">
        <f>mehrsprachigkeitBegriffsrückgabe(gewählteSpracheZurückgeben(),"More images")</f>
        <v>Weitere Bilder</v>
      </c>
      <c r="EY11" s="141" t="str">
        <f>mehrsprachigkeitBegriffsrückgabe(gewählteSpracheZurückgeben(),"Change stock")</f>
        <v>Lagerbest.-Änd.</v>
      </c>
      <c r="EZ11" s="141" t="str">
        <f>mehrsprachigkeitBegriffsrückgabe(gewählteSpracheZurückgeben(),"Settings for stock and delivery time")</f>
        <v>Einstellungen zu Lagerbestand und Lieferzeit</v>
      </c>
      <c r="FA11" s="141" t="str">
        <f>mehrsprachigkeitBegriffsrückgabe(gewählteSpracheZurückgeben(),"Recommended products")</f>
        <v>Empfohlene Produkte</v>
      </c>
      <c r="FB11" s="141" t="str">
        <f>mehrsprachigkeitBegriffsrückgabe(gewählteSpracheZurückgeben(),"Configurator")</f>
        <v>Konfigurator</v>
      </c>
      <c r="FC11" s="141" t="str">
        <f>mehrsprachigkeitBegriffsrückgabe(gewählteSpracheZurückgeben(),"Template")</f>
        <v>Template für Produktdarstellung</v>
      </c>
      <c r="FD11" s="161"/>
      <c r="FE11" s="141" t="str">
        <f>mehrsprachigkeitBegriffsrückgabe(gewählteSpracheZurückgeben(),"flexContent1")</f>
        <v>flexContent1</v>
      </c>
      <c r="FF11" s="141" t="str">
        <f>mehrsprachigkeitBegriffsrückgabe(gewählteSpracheZurückgeben(),"flexContent2")</f>
        <v>flexContent2</v>
      </c>
      <c r="FG11" s="141" t="str">
        <f>mehrsprachigkeitBegriffsrückgabe(gewählteSpracheZurückgeben(),"flexContent3")</f>
        <v>flexContent3</v>
      </c>
      <c r="FH11" s="141" t="str">
        <f>mehrsprachigkeitBegriffsrückgabe(gewählteSpracheZurückgeben(),"flexContent4")</f>
        <v>flexContent4</v>
      </c>
      <c r="FI11" s="141" t="str">
        <f>mehrsprachigkeitBegriffsrückgabe(gewählteSpracheZurückgeben(),"flexContent5")</f>
        <v>flexContent5</v>
      </c>
      <c r="FJ11" s="141" t="str">
        <f>mehrsprachigkeitBegriffsrückgabe(gewählteSpracheZurückgeben(),"flexContent6")</f>
        <v>flexContent6</v>
      </c>
      <c r="FK11" s="141" t="str">
        <f>mehrsprachigkeitBegriffsrückgabe(gewählteSpracheZurückgeben(),"flexContent7")</f>
        <v>flexContent7</v>
      </c>
      <c r="FL11" s="141" t="str">
        <f>mehrsprachigkeitBegriffsrückgabe(gewählteSpracheZurückgeben(),"flexContent8")</f>
        <v>flexContent8</v>
      </c>
      <c r="FM11" s="141" t="str">
        <f>mehrsprachigkeitBegriffsrückgabe(gewählteSpracheZurückgeben(),"flexContent9")</f>
        <v>flexContent9</v>
      </c>
      <c r="FN11" s="141" t="str">
        <f>mehrsprachigkeitBegriffsrückgabe(gewählteSpracheZurückgeben(),"flexContent10")</f>
        <v>flexContent10</v>
      </c>
      <c r="FO11" s="161"/>
      <c r="FP11" s="141" t="str">
        <f>mehrsprachigkeitBegriffsrückgabe(gewählteSpracheZurückgeben(),"flexContent1 language independent")</f>
        <v>flexContent1 sprachunabhängig</v>
      </c>
      <c r="FQ11" s="141" t="str">
        <f>mehrsprachigkeitBegriffsrückgabe(gewählteSpracheZurückgeben(),"flexContent2 language independent")</f>
        <v>flexContent2 sprachunabhängig</v>
      </c>
      <c r="FR11" s="141" t="str">
        <f>mehrsprachigkeitBegriffsrückgabe(gewählteSpracheZurückgeben(),"flexContent3 language independent")</f>
        <v>flexContent3 sprachunabhängig</v>
      </c>
      <c r="FS11" s="141" t="str">
        <f>mehrsprachigkeitBegriffsrückgabe(gewählteSpracheZurückgeben(),"flexContent4 language independent")</f>
        <v>flexContent4 sprachunabhängig</v>
      </c>
      <c r="FT11" s="141" t="str">
        <f>mehrsprachigkeitBegriffsrückgabe(gewählteSpracheZurückgeben(),"flexContent5 language independent")</f>
        <v>flexContent5 sprachunabhängig</v>
      </c>
      <c r="FU11" s="141" t="str">
        <f>mehrsprachigkeitBegriffsrückgabe(gewählteSpracheZurückgeben(),"flexContent6 language independent")</f>
        <v>flexContent6 sprachunabhängig</v>
      </c>
      <c r="FV11" s="141" t="str">
        <f>mehrsprachigkeitBegriffsrückgabe(gewählteSpracheZurückgeben(),"flexContent7 language independent")</f>
        <v>flexContent7 sprachunabhängig</v>
      </c>
      <c r="FW11" s="141" t="str">
        <f>mehrsprachigkeitBegriffsrückgabe(gewählteSpracheZurückgeben(),"flexContent8 language independent")</f>
        <v>flexContent8 sprachunabhängig</v>
      </c>
      <c r="FX11" s="141" t="str">
        <f>mehrsprachigkeitBegriffsrückgabe(gewählteSpracheZurückgeben(),"flexContent9 language independent")</f>
        <v>flexContent9 sprachunabhängig</v>
      </c>
      <c r="FY11" s="141" t="str">
        <f>mehrsprachigkeitBegriffsrückgabe(gewählteSpracheZurückgeben(),"flexContent10 language independent")</f>
        <v>flexContent10 sprachunabhängig</v>
      </c>
    </row>
    <row r="12" spans="1:181" ht="15.95" customHeight="1" x14ac:dyDescent="0.25">
      <c r="A12" s="117"/>
      <c r="C12" s="118"/>
      <c r="D12" s="118">
        <v>1</v>
      </c>
      <c r="E12" s="162"/>
      <c r="F12" s="117" t="str">
        <f>mehrsprachigkeitBegriffsrückgabe(gewählteSpracheZurückgeben(), "Product")</f>
        <v>Produkt</v>
      </c>
      <c r="G12" s="119" t="s">
        <v>100</v>
      </c>
      <c r="H12" s="119" t="s">
        <v>163</v>
      </c>
      <c r="I12" s="119" t="s">
        <v>87</v>
      </c>
      <c r="J12" s="119" t="s">
        <v>101</v>
      </c>
      <c r="K12" s="119"/>
      <c r="L12" s="162"/>
      <c r="M12" s="166" t="s">
        <v>342</v>
      </c>
      <c r="N12" s="119" t="s">
        <v>241</v>
      </c>
      <c r="O12" s="128" t="s">
        <v>343</v>
      </c>
      <c r="P12" s="128" t="s">
        <v>94</v>
      </c>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62"/>
      <c r="BB12" s="104" t="s">
        <v>148</v>
      </c>
      <c r="BC12" s="72" t="s">
        <v>96</v>
      </c>
      <c r="BD12" s="72" t="s">
        <v>251</v>
      </c>
      <c r="BE12" s="72" t="s">
        <v>99</v>
      </c>
      <c r="BF12" s="162"/>
      <c r="BG12" s="120">
        <v>158.82</v>
      </c>
      <c r="BH12" s="121"/>
      <c r="BI12" s="162"/>
      <c r="BJ12" s="105">
        <v>1</v>
      </c>
      <c r="BK12" s="121" t="str">
        <f>mehrsprachigkeitBegriffsrückgabe(gewählteSpracheZurückgeben(), "Fixed scale price")</f>
        <v>Feste Preisangabe</v>
      </c>
      <c r="BL12" s="121" t="str">
        <f>mehrsprachigkeitBegriffsrückgabe(gewählteSpracheZurückgeben(), "Separated by products, variants and configurations")</f>
        <v>Produkte, Varianten und Konfigurationen getrennt</v>
      </c>
      <c r="BM12" s="105">
        <v>1</v>
      </c>
      <c r="BN12" s="121"/>
      <c r="BO12" s="171" t="s">
        <v>221</v>
      </c>
      <c r="BP12" s="162"/>
      <c r="BQ12" s="120" t="s">
        <v>163</v>
      </c>
      <c r="BR12" s="121"/>
      <c r="BS12" s="105"/>
      <c r="BT12" s="162"/>
      <c r="BU12" s="105"/>
      <c r="BV12" s="105"/>
      <c r="BW12" s="120"/>
      <c r="BX12" s="121"/>
      <c r="BY12" s="105"/>
      <c r="BZ12" s="121"/>
      <c r="CA12" s="121"/>
      <c r="CB12" s="105"/>
      <c r="CC12" s="121"/>
      <c r="CD12" s="171"/>
      <c r="CE12" s="120"/>
      <c r="CF12" s="121"/>
      <c r="CG12" s="105"/>
      <c r="CH12" s="162"/>
      <c r="CI12" s="105"/>
      <c r="CJ12" s="105"/>
      <c r="CK12" s="120"/>
      <c r="CL12" s="121"/>
      <c r="CM12" s="105"/>
      <c r="CN12" s="171"/>
      <c r="CO12" s="171"/>
      <c r="CP12" s="105"/>
      <c r="CQ12" s="121"/>
      <c r="CR12" s="171"/>
      <c r="CS12" s="120"/>
      <c r="CT12" s="121"/>
      <c r="CU12" s="105"/>
      <c r="CV12" s="162"/>
      <c r="CW12" s="105"/>
      <c r="CX12" s="105"/>
      <c r="CY12" s="120"/>
      <c r="CZ12" s="121"/>
      <c r="DA12" s="105"/>
      <c r="DB12" s="121"/>
      <c r="DC12" s="121"/>
      <c r="DD12" s="105"/>
      <c r="DE12" s="121"/>
      <c r="DF12" s="121"/>
      <c r="DG12" s="120"/>
      <c r="DH12" s="121"/>
      <c r="DI12" s="105"/>
      <c r="DJ12" s="162"/>
      <c r="DK12" s="105"/>
      <c r="DL12" s="105"/>
      <c r="DM12" s="120"/>
      <c r="DN12" s="121"/>
      <c r="DO12" s="105"/>
      <c r="DP12" s="121"/>
      <c r="DQ12" s="121"/>
      <c r="DR12" s="105"/>
      <c r="DS12" s="121"/>
      <c r="DT12" s="121"/>
      <c r="DU12" s="120"/>
      <c r="DV12" s="121"/>
      <c r="DW12" s="105"/>
      <c r="DX12" s="162"/>
      <c r="DY12" s="105"/>
      <c r="DZ12" s="105"/>
      <c r="EA12" s="120"/>
      <c r="EB12" s="121"/>
      <c r="EC12" s="105"/>
      <c r="ED12" s="121"/>
      <c r="EE12" s="121"/>
      <c r="EF12" s="105"/>
      <c r="EG12" s="121"/>
      <c r="EH12" s="121"/>
      <c r="EI12" s="120"/>
      <c r="EJ12" s="121"/>
      <c r="EK12" s="105"/>
      <c r="EL12" s="162"/>
      <c r="EM12" s="72" t="s">
        <v>169</v>
      </c>
      <c r="EN12" s="74">
        <v>2250</v>
      </c>
      <c r="EP12" s="72" t="s">
        <v>77</v>
      </c>
      <c r="EY12" s="72" t="s">
        <v>150</v>
      </c>
      <c r="EZ12" s="72" t="s">
        <v>349</v>
      </c>
      <c r="FB12" s="78"/>
      <c r="FC12" s="78"/>
      <c r="FD12" s="162"/>
      <c r="FE12" s="78"/>
      <c r="FF12" s="78"/>
      <c r="FG12" s="78"/>
      <c r="FH12" s="78"/>
      <c r="FI12" s="78"/>
      <c r="FJ12" s="78"/>
      <c r="FK12" s="78"/>
      <c r="FL12" s="78"/>
      <c r="FM12" s="78"/>
      <c r="FN12" s="78"/>
      <c r="FO12" s="162"/>
      <c r="FP12" s="78"/>
      <c r="FQ12" s="78"/>
      <c r="FR12" s="78"/>
      <c r="FS12" s="78"/>
      <c r="FT12" s="78"/>
      <c r="FU12" s="78"/>
      <c r="FV12" s="78"/>
      <c r="FW12" s="78"/>
      <c r="FX12" s="78"/>
      <c r="FY12" s="78"/>
    </row>
    <row r="13" spans="1:181" ht="15.95" customHeight="1" x14ac:dyDescent="0.25">
      <c r="A13" s="117"/>
      <c r="C13" s="118"/>
      <c r="D13" s="118"/>
      <c r="E13" s="162"/>
      <c r="F13" s="117" t="str">
        <f>mehrsprachigkeitBegriffsrückgabe(gewählteSpracheZurückgeben(), "Product (foreign language)")</f>
        <v>Produkt (Fremdsprache)</v>
      </c>
      <c r="G13" s="119"/>
      <c r="H13" s="119" t="s">
        <v>100</v>
      </c>
      <c r="I13" s="119" t="s">
        <v>102</v>
      </c>
      <c r="J13" s="119" t="s">
        <v>101</v>
      </c>
      <c r="K13" s="119"/>
      <c r="L13" s="162"/>
      <c r="M13" s="166"/>
      <c r="N13" s="119"/>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62"/>
      <c r="BB13" s="104" t="s">
        <v>149</v>
      </c>
      <c r="BC13" s="72" t="s">
        <v>103</v>
      </c>
      <c r="BF13" s="162"/>
      <c r="BG13" s="120" t="s">
        <v>163</v>
      </c>
      <c r="BH13" s="121"/>
      <c r="BI13" s="162"/>
      <c r="BJ13" s="105"/>
      <c r="BK13" s="121"/>
      <c r="BL13" s="121"/>
      <c r="BM13" s="105"/>
      <c r="BN13" s="121"/>
      <c r="BO13" s="121"/>
      <c r="BP13" s="162"/>
      <c r="BQ13" s="120" t="s">
        <v>163</v>
      </c>
      <c r="BR13" s="121"/>
      <c r="BS13" s="105"/>
      <c r="BT13" s="162"/>
      <c r="BU13" s="105"/>
      <c r="BV13" s="105"/>
      <c r="BW13" s="120"/>
      <c r="BX13" s="121"/>
      <c r="BY13" s="105"/>
      <c r="BZ13" s="121"/>
      <c r="CA13" s="121"/>
      <c r="CB13" s="105"/>
      <c r="CC13" s="121"/>
      <c r="CD13" s="121"/>
      <c r="CE13" s="120"/>
      <c r="CF13" s="121"/>
      <c r="CG13" s="105"/>
      <c r="CH13" s="162"/>
      <c r="CI13" s="105"/>
      <c r="CJ13" s="105"/>
      <c r="CK13" s="120"/>
      <c r="CL13" s="121"/>
      <c r="CM13" s="105"/>
      <c r="CN13" s="121"/>
      <c r="CO13" s="121"/>
      <c r="CP13" s="105"/>
      <c r="CQ13" s="121"/>
      <c r="CR13" s="121"/>
      <c r="CS13" s="120"/>
      <c r="CT13" s="121"/>
      <c r="CU13" s="105"/>
      <c r="CV13" s="162"/>
      <c r="CW13" s="105"/>
      <c r="CX13" s="105"/>
      <c r="CY13" s="120"/>
      <c r="CZ13" s="121"/>
      <c r="DA13" s="105"/>
      <c r="DB13" s="121"/>
      <c r="DC13" s="121"/>
      <c r="DD13" s="105"/>
      <c r="DE13" s="121"/>
      <c r="DF13" s="121"/>
      <c r="DG13" s="120"/>
      <c r="DH13" s="121"/>
      <c r="DI13" s="105"/>
      <c r="DJ13" s="162"/>
      <c r="DK13" s="105"/>
      <c r="DL13" s="105"/>
      <c r="DM13" s="120"/>
      <c r="DN13" s="121"/>
      <c r="DO13" s="105"/>
      <c r="DP13" s="121"/>
      <c r="DQ13" s="121"/>
      <c r="DR13" s="105"/>
      <c r="DS13" s="121"/>
      <c r="DT13" s="121"/>
      <c r="DU13" s="120"/>
      <c r="DV13" s="121"/>
      <c r="DW13" s="105"/>
      <c r="DX13" s="162"/>
      <c r="DY13" s="105"/>
      <c r="DZ13" s="105"/>
      <c r="EA13" s="120"/>
      <c r="EB13" s="121"/>
      <c r="EC13" s="105"/>
      <c r="ED13" s="121"/>
      <c r="EE13" s="121"/>
      <c r="EF13" s="105"/>
      <c r="EG13" s="121"/>
      <c r="EH13" s="121"/>
      <c r="EI13" s="120"/>
      <c r="EJ13" s="121"/>
      <c r="EK13" s="105"/>
      <c r="EL13" s="162"/>
      <c r="EP13" s="72" t="s">
        <v>104</v>
      </c>
      <c r="FB13" s="78"/>
      <c r="FC13" s="78"/>
      <c r="FD13" s="162"/>
      <c r="FE13" s="78"/>
      <c r="FF13" s="78"/>
      <c r="FG13" s="78"/>
      <c r="FO13" s="162"/>
      <c r="FP13" s="78"/>
      <c r="FQ13" s="78"/>
      <c r="FR13" s="78"/>
    </row>
    <row r="14" spans="1:181" ht="15.95" customHeight="1" x14ac:dyDescent="0.25">
      <c r="D14" s="70">
        <v>1</v>
      </c>
      <c r="E14" s="162"/>
      <c r="F14" s="71" t="str">
        <f>mehrsprachigkeitBegriffsrückgabe(gewählteSpracheZurückgeben(), "Product")</f>
        <v>Produkt</v>
      </c>
      <c r="G14" s="72" t="s">
        <v>105</v>
      </c>
      <c r="H14" s="72" t="s">
        <v>163</v>
      </c>
      <c r="I14" s="72" t="s">
        <v>87</v>
      </c>
      <c r="J14" s="72" t="s">
        <v>106</v>
      </c>
      <c r="L14" s="162"/>
      <c r="M14" s="167" t="s">
        <v>342</v>
      </c>
      <c r="N14" s="72" t="s">
        <v>163</v>
      </c>
      <c r="O14" s="128" t="s">
        <v>343</v>
      </c>
      <c r="P14" s="128" t="s">
        <v>163</v>
      </c>
      <c r="BA14" s="162"/>
      <c r="BB14" s="104" t="s">
        <v>148</v>
      </c>
      <c r="BC14" s="72" t="s">
        <v>96</v>
      </c>
      <c r="BD14" s="72" t="s">
        <v>251</v>
      </c>
      <c r="BE14" s="72" t="s">
        <v>99</v>
      </c>
      <c r="BF14" s="162"/>
      <c r="BG14" s="83">
        <v>192.44</v>
      </c>
      <c r="BI14" s="162"/>
      <c r="BJ14" s="105">
        <v>1</v>
      </c>
      <c r="BK14" s="121" t="str">
        <f>mehrsprachigkeitBegriffsrückgabe(gewählteSpracheZurückgeben(), "Fixed scale price")</f>
        <v>Feste Preisangabe</v>
      </c>
      <c r="BL14" s="121"/>
      <c r="BM14" s="105">
        <v>1</v>
      </c>
      <c r="BO14" s="73" t="s">
        <v>222</v>
      </c>
      <c r="BP14" s="162"/>
      <c r="BQ14" s="83">
        <v>209.24</v>
      </c>
      <c r="BS14" s="105">
        <v>1</v>
      </c>
      <c r="BT14" s="162"/>
      <c r="BU14" s="105"/>
      <c r="BV14" s="105"/>
      <c r="BY14" s="105"/>
      <c r="BZ14" s="121"/>
      <c r="CA14" s="121"/>
      <c r="CB14" s="105"/>
      <c r="CG14" s="105"/>
      <c r="CH14" s="162"/>
      <c r="CI14" s="105"/>
      <c r="CJ14" s="105"/>
      <c r="CM14" s="105"/>
      <c r="CN14" s="121"/>
      <c r="CO14" s="121"/>
      <c r="CP14" s="105"/>
      <c r="CU14" s="105"/>
      <c r="CV14" s="162"/>
      <c r="CW14" s="105"/>
      <c r="CX14" s="105"/>
      <c r="DA14" s="105"/>
      <c r="DB14" s="121"/>
      <c r="DC14" s="121"/>
      <c r="DD14" s="105"/>
      <c r="DI14" s="105"/>
      <c r="DJ14" s="162"/>
      <c r="DK14" s="105"/>
      <c r="DL14" s="105"/>
      <c r="DO14" s="105"/>
      <c r="DP14" s="121"/>
      <c r="DQ14" s="121"/>
      <c r="DR14" s="105"/>
      <c r="DW14" s="105"/>
      <c r="DX14" s="162"/>
      <c r="DY14" s="105"/>
      <c r="DZ14" s="105"/>
      <c r="EC14" s="105"/>
      <c r="ED14" s="121"/>
      <c r="EE14" s="121"/>
      <c r="EF14" s="105"/>
      <c r="EK14" s="105"/>
      <c r="EL14" s="162"/>
      <c r="EM14" s="72" t="s">
        <v>169</v>
      </c>
      <c r="EN14" s="74">
        <v>1100</v>
      </c>
      <c r="EP14" s="72" t="s">
        <v>77</v>
      </c>
      <c r="EU14" s="77">
        <v>1</v>
      </c>
      <c r="EY14" s="72" t="s">
        <v>203</v>
      </c>
      <c r="EZ14" s="72" t="s">
        <v>348</v>
      </c>
      <c r="FB14" s="78"/>
      <c r="FC14" s="78"/>
      <c r="FD14" s="162"/>
      <c r="FE14" s="78"/>
      <c r="FF14" s="78"/>
      <c r="FG14" s="78"/>
      <c r="FO14" s="162"/>
      <c r="FP14" s="78"/>
      <c r="FQ14" s="78"/>
      <c r="FR14" s="78"/>
    </row>
    <row r="15" spans="1:181" ht="15.95" customHeight="1" x14ac:dyDescent="0.25">
      <c r="E15" s="162"/>
      <c r="F15" s="71" t="str">
        <f>mehrsprachigkeitBegriffsrückgabe(gewählteSpracheZurückgeben(), "Product (foreign language)")</f>
        <v>Produkt (Fremdsprache)</v>
      </c>
      <c r="H15" s="72" t="s">
        <v>105</v>
      </c>
      <c r="I15" s="72" t="s">
        <v>102</v>
      </c>
      <c r="J15" s="72" t="s">
        <v>106</v>
      </c>
      <c r="L15" s="162"/>
      <c r="O15" s="119"/>
      <c r="P15" s="119"/>
      <c r="BA15" s="162"/>
      <c r="BB15" s="104" t="s">
        <v>149</v>
      </c>
      <c r="BC15" s="72" t="s">
        <v>103</v>
      </c>
      <c r="BF15" s="162"/>
      <c r="BG15" s="120" t="s">
        <v>163</v>
      </c>
      <c r="BH15" s="121"/>
      <c r="BI15" s="162"/>
      <c r="BJ15" s="105"/>
      <c r="BK15" s="121"/>
      <c r="BL15" s="121"/>
      <c r="BM15" s="105"/>
      <c r="BN15" s="121"/>
      <c r="BO15" s="121"/>
      <c r="BP15" s="162"/>
      <c r="BQ15" s="120" t="s">
        <v>163</v>
      </c>
      <c r="BR15" s="121"/>
      <c r="BS15" s="105"/>
      <c r="BT15" s="162"/>
      <c r="BU15" s="105"/>
      <c r="BV15" s="105"/>
      <c r="BW15" s="120"/>
      <c r="BX15" s="121"/>
      <c r="BY15" s="105"/>
      <c r="BZ15" s="121"/>
      <c r="CA15" s="121"/>
      <c r="CB15" s="105"/>
      <c r="CC15" s="121"/>
      <c r="CD15" s="121"/>
      <c r="CE15" s="120"/>
      <c r="CF15" s="121"/>
      <c r="CG15" s="105"/>
      <c r="CH15" s="162"/>
      <c r="CI15" s="105"/>
      <c r="CJ15" s="105"/>
      <c r="CK15" s="120"/>
      <c r="CL15" s="121"/>
      <c r="CM15" s="105"/>
      <c r="CN15" s="121"/>
      <c r="CO15" s="121"/>
      <c r="CP15" s="105"/>
      <c r="CQ15" s="121"/>
      <c r="CR15" s="121"/>
      <c r="CS15" s="120"/>
      <c r="CT15" s="121"/>
      <c r="CU15" s="105"/>
      <c r="CV15" s="162"/>
      <c r="CW15" s="105"/>
      <c r="CX15" s="105"/>
      <c r="CY15" s="120"/>
      <c r="CZ15" s="121"/>
      <c r="DA15" s="105"/>
      <c r="DB15" s="121"/>
      <c r="DC15" s="121"/>
      <c r="DD15" s="105"/>
      <c r="DE15" s="121"/>
      <c r="DF15" s="121"/>
      <c r="DG15" s="120"/>
      <c r="DH15" s="121"/>
      <c r="DI15" s="105"/>
      <c r="DJ15" s="162"/>
      <c r="DK15" s="105"/>
      <c r="DL15" s="105"/>
      <c r="DM15" s="120"/>
      <c r="DN15" s="121"/>
      <c r="DO15" s="105"/>
      <c r="DP15" s="121"/>
      <c r="DQ15" s="121"/>
      <c r="DR15" s="105"/>
      <c r="DS15" s="121"/>
      <c r="DT15" s="121"/>
      <c r="DU15" s="120"/>
      <c r="DV15" s="121"/>
      <c r="DW15" s="105"/>
      <c r="DX15" s="162"/>
      <c r="DY15" s="105"/>
      <c r="DZ15" s="105"/>
      <c r="EA15" s="120"/>
      <c r="EB15" s="121"/>
      <c r="EC15" s="105"/>
      <c r="ED15" s="121"/>
      <c r="EE15" s="121"/>
      <c r="EF15" s="105"/>
      <c r="EG15" s="121"/>
      <c r="EH15" s="121"/>
      <c r="EI15" s="120"/>
      <c r="EJ15" s="121"/>
      <c r="EK15" s="105"/>
      <c r="EL15" s="162"/>
      <c r="EP15" s="72" t="s">
        <v>104</v>
      </c>
      <c r="FB15" s="78"/>
      <c r="FC15" s="78"/>
      <c r="FD15" s="162"/>
      <c r="FE15" s="78"/>
      <c r="FF15" s="78"/>
      <c r="FG15" s="78"/>
      <c r="FO15" s="162"/>
      <c r="FP15" s="78"/>
      <c r="FQ15" s="78"/>
      <c r="FR15" s="78"/>
    </row>
    <row r="16" spans="1:181" ht="15.95" customHeight="1" x14ac:dyDescent="0.25">
      <c r="D16" s="70">
        <v>1</v>
      </c>
      <c r="E16" s="162"/>
      <c r="F16" s="71" t="str">
        <f>mehrsprachigkeitBegriffsrückgabe(gewählteSpracheZurückgeben(), "Product")</f>
        <v>Produkt</v>
      </c>
      <c r="G16" s="72" t="s">
        <v>107</v>
      </c>
      <c r="H16" s="72" t="s">
        <v>163</v>
      </c>
      <c r="I16" s="72" t="s">
        <v>87</v>
      </c>
      <c r="J16" s="72" t="s">
        <v>173</v>
      </c>
      <c r="L16" s="162"/>
      <c r="M16" s="167" t="s">
        <v>342</v>
      </c>
      <c r="N16" s="72" t="s">
        <v>163</v>
      </c>
      <c r="O16" s="128" t="s">
        <v>343</v>
      </c>
      <c r="P16" s="128" t="s">
        <v>163</v>
      </c>
      <c r="BA16" s="162"/>
      <c r="BB16" s="104" t="s">
        <v>148</v>
      </c>
      <c r="BC16" s="72" t="s">
        <v>96</v>
      </c>
      <c r="BD16" s="72" t="s">
        <v>252</v>
      </c>
      <c r="BE16" s="72" t="s">
        <v>97</v>
      </c>
      <c r="BF16" s="162"/>
      <c r="BG16" s="83">
        <v>167.23</v>
      </c>
      <c r="BI16" s="162"/>
      <c r="BJ16" s="105">
        <v>1</v>
      </c>
      <c r="BK16" s="121" t="str">
        <f>mehrsprachigkeitBegriffsrückgabe(gewählteSpracheZurückgeben(), "Fixed scale price")</f>
        <v>Feste Preisangabe</v>
      </c>
      <c r="BL16" s="121" t="str">
        <f>mehrsprachigkeitBegriffsrückgabe(gewählteSpracheZurückgeben(), "Separated by products, variants and configurations")</f>
        <v>Produkte, Varianten und Konfigurationen getrennt</v>
      </c>
      <c r="BM16" s="105">
        <v>1</v>
      </c>
      <c r="BO16" s="73" t="s">
        <v>228</v>
      </c>
      <c r="BP16" s="162"/>
      <c r="BS16" s="105"/>
      <c r="BT16" s="162"/>
      <c r="BU16" s="105"/>
      <c r="BV16" s="105"/>
      <c r="BY16" s="105"/>
      <c r="BZ16" s="121"/>
      <c r="CA16" s="121"/>
      <c r="CB16" s="105"/>
      <c r="CG16" s="105"/>
      <c r="CH16" s="162"/>
      <c r="CI16" s="105"/>
      <c r="CJ16" s="105"/>
      <c r="CM16" s="105"/>
      <c r="CN16" s="121"/>
      <c r="CO16" s="121"/>
      <c r="CP16" s="105"/>
      <c r="CU16" s="105"/>
      <c r="CV16" s="162"/>
      <c r="CW16" s="105"/>
      <c r="CX16" s="105"/>
      <c r="DA16" s="105"/>
      <c r="DB16" s="121"/>
      <c r="DC16" s="121"/>
      <c r="DD16" s="105"/>
      <c r="DI16" s="105"/>
      <c r="DJ16" s="162"/>
      <c r="DK16" s="105"/>
      <c r="DL16" s="105"/>
      <c r="DO16" s="105"/>
      <c r="DP16" s="121"/>
      <c r="DQ16" s="121"/>
      <c r="DR16" s="105"/>
      <c r="DW16" s="105"/>
      <c r="DX16" s="162"/>
      <c r="DY16" s="105"/>
      <c r="DZ16" s="105"/>
      <c r="EC16" s="105"/>
      <c r="ED16" s="121"/>
      <c r="EE16" s="121"/>
      <c r="EF16" s="105"/>
      <c r="EK16" s="105"/>
      <c r="EL16" s="162"/>
      <c r="EM16" s="72" t="s">
        <v>169</v>
      </c>
      <c r="EN16" s="74">
        <v>1640</v>
      </c>
      <c r="EP16" s="72" t="s">
        <v>77</v>
      </c>
      <c r="EV16" s="78" t="s">
        <v>238</v>
      </c>
      <c r="EY16" s="72" t="s">
        <v>202</v>
      </c>
      <c r="EZ16" s="72" t="s">
        <v>348</v>
      </c>
      <c r="FB16" s="78"/>
      <c r="FC16" s="78"/>
      <c r="FD16" s="162"/>
      <c r="FE16" s="78"/>
      <c r="FF16" s="78"/>
      <c r="FG16" s="78"/>
      <c r="FO16" s="162"/>
      <c r="FP16" s="78"/>
      <c r="FQ16" s="78"/>
      <c r="FR16" s="78"/>
    </row>
    <row r="17" spans="1:174" ht="15.95" customHeight="1" x14ac:dyDescent="0.25">
      <c r="E17" s="162"/>
      <c r="F17" s="71" t="str">
        <f>mehrsprachigkeitBegriffsrückgabe(gewählteSpracheZurückgeben(), "Product (foreign language)")</f>
        <v>Produkt (Fremdsprache)</v>
      </c>
      <c r="H17" s="72" t="s">
        <v>107</v>
      </c>
      <c r="I17" s="72" t="s">
        <v>102</v>
      </c>
      <c r="J17" s="72" t="s">
        <v>108</v>
      </c>
      <c r="L17" s="162"/>
      <c r="O17" s="119"/>
      <c r="P17" s="119"/>
      <c r="BA17" s="162"/>
      <c r="BB17" s="104" t="s">
        <v>149</v>
      </c>
      <c r="BC17" s="72" t="s">
        <v>103</v>
      </c>
      <c r="BF17" s="162"/>
      <c r="BG17" s="120" t="s">
        <v>163</v>
      </c>
      <c r="BH17" s="121"/>
      <c r="BI17" s="162"/>
      <c r="BJ17" s="105"/>
      <c r="BK17" s="121"/>
      <c r="BL17" s="121"/>
      <c r="BM17" s="105"/>
      <c r="BN17" s="121"/>
      <c r="BO17" s="121"/>
      <c r="BP17" s="162"/>
      <c r="BQ17" s="120" t="s">
        <v>163</v>
      </c>
      <c r="BR17" s="121"/>
      <c r="BS17" s="105"/>
      <c r="BT17" s="162"/>
      <c r="BU17" s="105"/>
      <c r="BV17" s="105"/>
      <c r="BW17" s="120"/>
      <c r="BX17" s="121"/>
      <c r="BY17" s="105"/>
      <c r="BZ17" s="121"/>
      <c r="CA17" s="121"/>
      <c r="CB17" s="105"/>
      <c r="CC17" s="121"/>
      <c r="CD17" s="121"/>
      <c r="CE17" s="120"/>
      <c r="CF17" s="121"/>
      <c r="CG17" s="105"/>
      <c r="CH17" s="162"/>
      <c r="CI17" s="105"/>
      <c r="CJ17" s="105"/>
      <c r="CK17" s="120"/>
      <c r="CL17" s="121"/>
      <c r="CM17" s="105"/>
      <c r="CN17" s="121"/>
      <c r="CO17" s="121"/>
      <c r="CP17" s="105"/>
      <c r="CQ17" s="121"/>
      <c r="CR17" s="121"/>
      <c r="CS17" s="120"/>
      <c r="CT17" s="121"/>
      <c r="CU17" s="105"/>
      <c r="CV17" s="162"/>
      <c r="CW17" s="105"/>
      <c r="CX17" s="105"/>
      <c r="CY17" s="120"/>
      <c r="CZ17" s="121"/>
      <c r="DA17" s="105"/>
      <c r="DB17" s="121"/>
      <c r="DC17" s="121"/>
      <c r="DD17" s="105"/>
      <c r="DE17" s="121"/>
      <c r="DF17" s="121"/>
      <c r="DG17" s="120"/>
      <c r="DH17" s="121"/>
      <c r="DI17" s="105"/>
      <c r="DJ17" s="162"/>
      <c r="DK17" s="105"/>
      <c r="DL17" s="105"/>
      <c r="DM17" s="120"/>
      <c r="DN17" s="121"/>
      <c r="DO17" s="105"/>
      <c r="DP17" s="121"/>
      <c r="DQ17" s="121"/>
      <c r="DR17" s="105"/>
      <c r="DS17" s="121"/>
      <c r="DT17" s="121"/>
      <c r="DU17" s="120"/>
      <c r="DV17" s="121"/>
      <c r="DW17" s="105"/>
      <c r="DX17" s="162"/>
      <c r="DY17" s="105"/>
      <c r="DZ17" s="105"/>
      <c r="EA17" s="120"/>
      <c r="EB17" s="121"/>
      <c r="EC17" s="105"/>
      <c r="ED17" s="121"/>
      <c r="EE17" s="121"/>
      <c r="EF17" s="105"/>
      <c r="EG17" s="121"/>
      <c r="EH17" s="121"/>
      <c r="EI17" s="120"/>
      <c r="EJ17" s="121"/>
      <c r="EK17" s="105"/>
      <c r="EL17" s="162"/>
      <c r="EP17" s="72" t="s">
        <v>104</v>
      </c>
      <c r="EV17" s="78" t="s">
        <v>238</v>
      </c>
      <c r="FB17" s="78"/>
      <c r="FC17" s="78"/>
      <c r="FD17" s="162"/>
      <c r="FE17" s="78"/>
      <c r="FF17" s="78"/>
      <c r="FG17" s="78"/>
      <c r="FO17" s="162"/>
      <c r="FP17" s="78"/>
      <c r="FQ17" s="78"/>
      <c r="FR17" s="78"/>
    </row>
    <row r="18" spans="1:174" ht="15.95" customHeight="1" x14ac:dyDescent="0.25">
      <c r="D18" s="70">
        <v>1</v>
      </c>
      <c r="E18" s="162"/>
      <c r="F18" s="71" t="str">
        <f>mehrsprachigkeitBegriffsrückgabe(gewählteSpracheZurückgeben(), "Product")</f>
        <v>Produkt</v>
      </c>
      <c r="G18" s="72" t="s">
        <v>110</v>
      </c>
      <c r="H18" s="72" t="s">
        <v>163</v>
      </c>
      <c r="I18" s="72" t="s">
        <v>87</v>
      </c>
      <c r="J18" s="72" t="s">
        <v>111</v>
      </c>
      <c r="L18" s="162"/>
      <c r="M18" s="167" t="s">
        <v>342</v>
      </c>
      <c r="N18" s="72" t="s">
        <v>163</v>
      </c>
      <c r="O18" s="128" t="s">
        <v>343</v>
      </c>
      <c r="P18" s="128" t="s">
        <v>163</v>
      </c>
      <c r="BA18" s="162"/>
      <c r="BB18" s="104" t="s">
        <v>148</v>
      </c>
      <c r="BC18" s="72" t="s">
        <v>96</v>
      </c>
      <c r="BD18" s="72" t="s">
        <v>251</v>
      </c>
      <c r="BE18" s="72" t="s">
        <v>109</v>
      </c>
      <c r="BF18" s="162"/>
      <c r="BG18" s="83">
        <v>66.39</v>
      </c>
      <c r="BI18" s="162"/>
      <c r="BJ18" s="105">
        <v>1</v>
      </c>
      <c r="BK18" s="121" t="str">
        <f>mehrsprachigkeitBegriffsrückgabe(gewählteSpracheZurückgeben(), "Fixed scale price")</f>
        <v>Feste Preisangabe</v>
      </c>
      <c r="BL18" s="121" t="str">
        <f>mehrsprachigkeitBegriffsrückgabe(gewählteSpracheZurückgeben(), "Separated by products, variants and configurations")</f>
        <v>Produkte, Varianten und Konfigurationen getrennt</v>
      </c>
      <c r="BM18" s="105">
        <v>1</v>
      </c>
      <c r="BO18" s="73" t="s">
        <v>223</v>
      </c>
      <c r="BP18" s="162"/>
      <c r="BS18" s="105"/>
      <c r="BT18" s="162"/>
      <c r="BU18" s="105"/>
      <c r="BV18" s="105"/>
      <c r="BY18" s="105"/>
      <c r="BZ18" s="121"/>
      <c r="CA18" s="121"/>
      <c r="CB18" s="105"/>
      <c r="CG18" s="105"/>
      <c r="CH18" s="162"/>
      <c r="CI18" s="105"/>
      <c r="CJ18" s="105"/>
      <c r="CM18" s="105"/>
      <c r="CN18" s="121"/>
      <c r="CO18" s="121"/>
      <c r="CP18" s="105"/>
      <c r="CU18" s="105"/>
      <c r="CV18" s="162"/>
      <c r="CW18" s="105"/>
      <c r="CX18" s="105"/>
      <c r="DA18" s="105"/>
      <c r="DB18" s="121"/>
      <c r="DC18" s="121"/>
      <c r="DD18" s="105"/>
      <c r="DI18" s="105"/>
      <c r="DJ18" s="162"/>
      <c r="DK18" s="105"/>
      <c r="DL18" s="105"/>
      <c r="DO18" s="105"/>
      <c r="DP18" s="121"/>
      <c r="DQ18" s="121"/>
      <c r="DR18" s="105"/>
      <c r="DW18" s="105"/>
      <c r="DX18" s="162"/>
      <c r="DY18" s="105"/>
      <c r="DZ18" s="105"/>
      <c r="EC18" s="105"/>
      <c r="ED18" s="121"/>
      <c r="EE18" s="121"/>
      <c r="EF18" s="105"/>
      <c r="EK18" s="105"/>
      <c r="EL18" s="162"/>
      <c r="EM18" s="72" t="s">
        <v>169</v>
      </c>
      <c r="EN18" s="74">
        <v>1780</v>
      </c>
      <c r="EP18" s="72" t="s">
        <v>77</v>
      </c>
      <c r="ET18" s="77">
        <v>1</v>
      </c>
      <c r="EY18" s="72" t="s">
        <v>112</v>
      </c>
      <c r="EZ18" s="72" t="s">
        <v>349</v>
      </c>
      <c r="FB18" s="78"/>
      <c r="FC18" s="78"/>
      <c r="FD18" s="162"/>
      <c r="FE18" s="78"/>
      <c r="FF18" s="78"/>
      <c r="FG18" s="78"/>
      <c r="FO18" s="162"/>
      <c r="FP18" s="78"/>
      <c r="FQ18" s="78"/>
      <c r="FR18" s="78"/>
    </row>
    <row r="19" spans="1:174" ht="15.95" customHeight="1" x14ac:dyDescent="0.25">
      <c r="E19" s="162"/>
      <c r="F19" s="71" t="str">
        <f>mehrsprachigkeitBegriffsrückgabe(gewählteSpracheZurückgeben(), "Product (foreign language)")</f>
        <v>Produkt (Fremdsprache)</v>
      </c>
      <c r="H19" s="72" t="s">
        <v>110</v>
      </c>
      <c r="I19" s="72" t="s">
        <v>102</v>
      </c>
      <c r="J19" s="72" t="s">
        <v>111</v>
      </c>
      <c r="L19" s="162"/>
      <c r="O19" s="119"/>
      <c r="P19" s="119"/>
      <c r="BA19" s="162"/>
      <c r="BB19" s="104" t="s">
        <v>149</v>
      </c>
      <c r="BC19" s="72" t="s">
        <v>103</v>
      </c>
      <c r="BF19" s="162"/>
      <c r="BG19" s="120" t="s">
        <v>163</v>
      </c>
      <c r="BH19" s="121"/>
      <c r="BI19" s="162"/>
      <c r="BJ19" s="105"/>
      <c r="BK19" s="121"/>
      <c r="BL19" s="121"/>
      <c r="BM19" s="105"/>
      <c r="BN19" s="121"/>
      <c r="BO19" s="121"/>
      <c r="BP19" s="162"/>
      <c r="BQ19" s="120" t="s">
        <v>163</v>
      </c>
      <c r="BR19" s="121"/>
      <c r="BS19" s="105"/>
      <c r="BT19" s="162"/>
      <c r="BU19" s="105"/>
      <c r="BV19" s="105"/>
      <c r="BW19" s="120"/>
      <c r="BX19" s="121"/>
      <c r="BY19" s="105"/>
      <c r="BZ19" s="121"/>
      <c r="CA19" s="121"/>
      <c r="CB19" s="105"/>
      <c r="CC19" s="121"/>
      <c r="CD19" s="121"/>
      <c r="CE19" s="120"/>
      <c r="CF19" s="121"/>
      <c r="CG19" s="105"/>
      <c r="CH19" s="162"/>
      <c r="CI19" s="105"/>
      <c r="CJ19" s="105"/>
      <c r="CK19" s="120"/>
      <c r="CL19" s="121"/>
      <c r="CM19" s="105"/>
      <c r="CN19" s="121"/>
      <c r="CO19" s="121"/>
      <c r="CP19" s="105"/>
      <c r="CQ19" s="121"/>
      <c r="CR19" s="121"/>
      <c r="CS19" s="120"/>
      <c r="CT19" s="121"/>
      <c r="CU19" s="105"/>
      <c r="CV19" s="162"/>
      <c r="CW19" s="105"/>
      <c r="CX19" s="105"/>
      <c r="CY19" s="120"/>
      <c r="CZ19" s="121"/>
      <c r="DA19" s="105"/>
      <c r="DB19" s="121"/>
      <c r="DC19" s="121"/>
      <c r="DD19" s="105"/>
      <c r="DE19" s="121"/>
      <c r="DF19" s="121"/>
      <c r="DG19" s="120"/>
      <c r="DH19" s="121"/>
      <c r="DI19" s="105"/>
      <c r="DJ19" s="162"/>
      <c r="DK19" s="105"/>
      <c r="DL19" s="105"/>
      <c r="DM19" s="120"/>
      <c r="DN19" s="121"/>
      <c r="DO19" s="105"/>
      <c r="DP19" s="121"/>
      <c r="DQ19" s="121"/>
      <c r="DR19" s="105"/>
      <c r="DS19" s="121"/>
      <c r="DT19" s="121"/>
      <c r="DU19" s="120"/>
      <c r="DV19" s="121"/>
      <c r="DW19" s="105"/>
      <c r="DX19" s="162"/>
      <c r="DY19" s="105"/>
      <c r="DZ19" s="105"/>
      <c r="EA19" s="120"/>
      <c r="EB19" s="121"/>
      <c r="EC19" s="105"/>
      <c r="ED19" s="121"/>
      <c r="EE19" s="121"/>
      <c r="EF19" s="105"/>
      <c r="EG19" s="121"/>
      <c r="EH19" s="121"/>
      <c r="EI19" s="120"/>
      <c r="EJ19" s="121"/>
      <c r="EK19" s="105"/>
      <c r="EL19" s="162"/>
      <c r="EP19" s="72" t="s">
        <v>104</v>
      </c>
      <c r="FB19" s="78"/>
      <c r="FC19" s="78"/>
      <c r="FD19" s="162"/>
      <c r="FE19" s="78"/>
      <c r="FF19" s="78"/>
      <c r="FG19" s="78"/>
      <c r="FO19" s="162"/>
      <c r="FP19" s="78"/>
      <c r="FQ19" s="78"/>
      <c r="FR19" s="78"/>
    </row>
    <row r="20" spans="1:174" ht="15.95" customHeight="1" x14ac:dyDescent="0.25">
      <c r="D20" s="70">
        <v>1</v>
      </c>
      <c r="E20" s="162"/>
      <c r="F20" s="71" t="str">
        <f>mehrsprachigkeitBegriffsrückgabe(gewählteSpracheZurückgeben(), "Product")</f>
        <v>Produkt</v>
      </c>
      <c r="G20" s="72" t="s">
        <v>114</v>
      </c>
      <c r="H20" s="72" t="s">
        <v>163</v>
      </c>
      <c r="I20" s="72" t="s">
        <v>87</v>
      </c>
      <c r="J20" s="72" t="s">
        <v>115</v>
      </c>
      <c r="L20" s="162"/>
      <c r="M20" s="167" t="s">
        <v>342</v>
      </c>
      <c r="N20" s="72" t="s">
        <v>163</v>
      </c>
      <c r="O20" s="128" t="s">
        <v>343</v>
      </c>
      <c r="P20" s="128" t="s">
        <v>163</v>
      </c>
      <c r="BA20" s="162"/>
      <c r="BB20" s="104" t="s">
        <v>148</v>
      </c>
      <c r="BC20" s="72" t="s">
        <v>96</v>
      </c>
      <c r="BD20" s="72" t="s">
        <v>252</v>
      </c>
      <c r="BE20" s="72" t="s">
        <v>113</v>
      </c>
      <c r="BF20" s="162"/>
      <c r="BG20" s="83">
        <v>192.44</v>
      </c>
      <c r="BI20" s="162"/>
      <c r="BJ20" s="105">
        <v>1</v>
      </c>
      <c r="BK20" s="121" t="str">
        <f>mehrsprachigkeitBegriffsrückgabe(gewählteSpracheZurückgeben(), "Fixed scale price")</f>
        <v>Feste Preisangabe</v>
      </c>
      <c r="BL20" s="121" t="str">
        <f>mehrsprachigkeitBegriffsrückgabe(gewählteSpracheZurückgeben(), "Separated by products, variants and configurations")</f>
        <v>Produkte, Varianten und Konfigurationen getrennt</v>
      </c>
      <c r="BM20" s="105">
        <v>1</v>
      </c>
      <c r="BO20" s="73" t="s">
        <v>229</v>
      </c>
      <c r="BP20" s="162"/>
      <c r="BQ20" s="83" t="s">
        <v>163</v>
      </c>
      <c r="BS20" s="105"/>
      <c r="BT20" s="162"/>
      <c r="BU20" s="105"/>
      <c r="BV20" s="105"/>
      <c r="BY20" s="105"/>
      <c r="BZ20" s="121"/>
      <c r="CA20" s="121"/>
      <c r="CB20" s="105"/>
      <c r="CG20" s="105"/>
      <c r="CH20" s="162"/>
      <c r="CI20" s="105"/>
      <c r="CJ20" s="105"/>
      <c r="CM20" s="105"/>
      <c r="CN20" s="121"/>
      <c r="CO20" s="121"/>
      <c r="CP20" s="105"/>
      <c r="CU20" s="105"/>
      <c r="CV20" s="162"/>
      <c r="CW20" s="105"/>
      <c r="CX20" s="105"/>
      <c r="DA20" s="105"/>
      <c r="DB20" s="121"/>
      <c r="DC20" s="121"/>
      <c r="DD20" s="105"/>
      <c r="DI20" s="105"/>
      <c r="DJ20" s="162"/>
      <c r="DK20" s="105"/>
      <c r="DL20" s="105"/>
      <c r="DO20" s="105"/>
      <c r="DP20" s="121"/>
      <c r="DQ20" s="121"/>
      <c r="DR20" s="105"/>
      <c r="DW20" s="105"/>
      <c r="DX20" s="162"/>
      <c r="DY20" s="105"/>
      <c r="DZ20" s="105"/>
      <c r="EC20" s="105"/>
      <c r="ED20" s="121"/>
      <c r="EE20" s="121"/>
      <c r="EF20" s="105"/>
      <c r="EK20" s="105"/>
      <c r="EL20" s="162"/>
      <c r="EM20" s="72" t="s">
        <v>169</v>
      </c>
      <c r="EN20" s="74">
        <v>1220</v>
      </c>
      <c r="EP20" s="72" t="s">
        <v>77</v>
      </c>
      <c r="EV20" s="78" t="s">
        <v>238</v>
      </c>
      <c r="EY20" s="72" t="s">
        <v>98</v>
      </c>
      <c r="EZ20" s="72" t="s">
        <v>347</v>
      </c>
      <c r="FB20" s="78"/>
      <c r="FC20" s="78"/>
      <c r="FD20" s="162"/>
      <c r="FE20" s="78"/>
      <c r="FF20" s="78"/>
      <c r="FG20" s="78"/>
      <c r="FO20" s="162"/>
      <c r="FP20" s="78"/>
      <c r="FQ20" s="78"/>
      <c r="FR20" s="78"/>
    </row>
    <row r="21" spans="1:174" ht="15.95" customHeight="1" x14ac:dyDescent="0.25">
      <c r="E21" s="162"/>
      <c r="F21" s="71" t="str">
        <f>mehrsprachigkeitBegriffsrückgabe(gewählteSpracheZurückgeben(), "Product (foreign language)")</f>
        <v>Produkt (Fremdsprache)</v>
      </c>
      <c r="H21" s="72" t="s">
        <v>114</v>
      </c>
      <c r="I21" s="72" t="s">
        <v>102</v>
      </c>
      <c r="J21" s="72" t="s">
        <v>115</v>
      </c>
      <c r="L21" s="162"/>
      <c r="O21" s="119"/>
      <c r="P21" s="119"/>
      <c r="BA21" s="162"/>
      <c r="BB21" s="104" t="s">
        <v>149</v>
      </c>
      <c r="BC21" s="72" t="s">
        <v>103</v>
      </c>
      <c r="BF21" s="162"/>
      <c r="BG21" s="83" t="s">
        <v>163</v>
      </c>
      <c r="BI21" s="162"/>
      <c r="BJ21" s="105"/>
      <c r="BK21" s="121"/>
      <c r="BL21" s="121"/>
      <c r="BM21" s="105"/>
      <c r="BP21" s="162"/>
      <c r="BQ21" s="83" t="s">
        <v>163</v>
      </c>
      <c r="BS21" s="105"/>
      <c r="BT21" s="162"/>
      <c r="BU21" s="105"/>
      <c r="BV21" s="105"/>
      <c r="BY21" s="105"/>
      <c r="BZ21" s="121"/>
      <c r="CA21" s="121"/>
      <c r="CB21" s="105"/>
      <c r="CG21" s="105"/>
      <c r="CH21" s="162"/>
      <c r="CI21" s="105"/>
      <c r="CJ21" s="105"/>
      <c r="CM21" s="105"/>
      <c r="CN21" s="121"/>
      <c r="CO21" s="121"/>
      <c r="CP21" s="105"/>
      <c r="CU21" s="105"/>
      <c r="CV21" s="162"/>
      <c r="CW21" s="105"/>
      <c r="CX21" s="105"/>
      <c r="DA21" s="105"/>
      <c r="DB21" s="121"/>
      <c r="DC21" s="121"/>
      <c r="DD21" s="105"/>
      <c r="DI21" s="105"/>
      <c r="DJ21" s="162"/>
      <c r="DK21" s="105"/>
      <c r="DL21" s="105"/>
      <c r="DO21" s="105"/>
      <c r="DP21" s="121"/>
      <c r="DQ21" s="121"/>
      <c r="DR21" s="105"/>
      <c r="DW21" s="105"/>
      <c r="DX21" s="162"/>
      <c r="DY21" s="105"/>
      <c r="DZ21" s="105"/>
      <c r="EC21" s="105"/>
      <c r="ED21" s="121"/>
      <c r="EE21" s="121"/>
      <c r="EF21" s="105"/>
      <c r="EK21" s="105"/>
      <c r="EL21" s="162"/>
      <c r="EP21" s="72" t="s">
        <v>104</v>
      </c>
      <c r="EV21" s="78" t="s">
        <v>238</v>
      </c>
      <c r="FB21" s="78"/>
      <c r="FC21" s="78"/>
      <c r="FD21" s="162"/>
      <c r="FE21" s="78"/>
      <c r="FF21" s="78"/>
      <c r="FG21" s="78"/>
      <c r="FO21" s="162"/>
      <c r="FP21" s="78"/>
      <c r="FQ21" s="78"/>
      <c r="FR21" s="78"/>
    </row>
    <row r="22" spans="1:174" ht="15.95" customHeight="1" x14ac:dyDescent="0.25">
      <c r="A22" s="117"/>
      <c r="C22" s="118"/>
      <c r="D22" s="118">
        <v>1</v>
      </c>
      <c r="E22" s="162"/>
      <c r="F22" s="117" t="str">
        <f>mehrsprachigkeitBegriffsrückgabe(gewählteSpracheZurückgeben(), "Product")</f>
        <v>Produkt</v>
      </c>
      <c r="G22" s="119" t="s">
        <v>116</v>
      </c>
      <c r="H22" s="119" t="s">
        <v>163</v>
      </c>
      <c r="I22" s="119" t="s">
        <v>87</v>
      </c>
      <c r="J22" s="119" t="s">
        <v>97</v>
      </c>
      <c r="K22" s="119"/>
      <c r="L22" s="162"/>
      <c r="M22" s="166" t="s">
        <v>342</v>
      </c>
      <c r="N22" s="119" t="s">
        <v>163</v>
      </c>
      <c r="O22" s="128" t="s">
        <v>343</v>
      </c>
      <c r="P22" s="128" t="s">
        <v>163</v>
      </c>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62"/>
      <c r="BB22" s="104" t="s">
        <v>148</v>
      </c>
      <c r="BC22" s="72" t="s">
        <v>96</v>
      </c>
      <c r="BD22" s="72" t="s">
        <v>252</v>
      </c>
      <c r="BE22" s="72" t="s">
        <v>113</v>
      </c>
      <c r="BF22" s="162"/>
      <c r="BG22" s="120">
        <v>66.39</v>
      </c>
      <c r="BH22" s="121"/>
      <c r="BI22" s="162"/>
      <c r="BJ22" s="105">
        <v>1</v>
      </c>
      <c r="BK22" s="121" t="str">
        <f>mehrsprachigkeitBegriffsrückgabe(gewählteSpracheZurückgeben(), "Fixed scale price")</f>
        <v>Feste Preisangabe</v>
      </c>
      <c r="BL22" s="121" t="str">
        <f>mehrsprachigkeitBegriffsrückgabe(gewählteSpracheZurückgeben(), "Separated by products, variants and configurations")</f>
        <v>Produkte, Varianten und Konfigurationen getrennt</v>
      </c>
      <c r="BM22" s="105">
        <v>1</v>
      </c>
      <c r="BN22" s="121"/>
      <c r="BO22" s="121" t="s">
        <v>230</v>
      </c>
      <c r="BP22" s="162"/>
      <c r="BQ22" s="83">
        <v>74.790000000000006</v>
      </c>
      <c r="BR22" s="121"/>
      <c r="BS22" s="105">
        <v>1</v>
      </c>
      <c r="BT22" s="162"/>
      <c r="BU22" s="105"/>
      <c r="BV22" s="105"/>
      <c r="BW22" s="120"/>
      <c r="BX22" s="121"/>
      <c r="BY22" s="105"/>
      <c r="BZ22" s="121"/>
      <c r="CA22" s="121"/>
      <c r="CB22" s="105"/>
      <c r="CC22" s="121"/>
      <c r="CD22" s="121"/>
      <c r="CF22" s="121"/>
      <c r="CG22" s="105"/>
      <c r="CH22" s="162"/>
      <c r="CI22" s="105"/>
      <c r="CJ22" s="105"/>
      <c r="CK22" s="120"/>
      <c r="CL22" s="121"/>
      <c r="CM22" s="105"/>
      <c r="CN22" s="121"/>
      <c r="CO22" s="121"/>
      <c r="CP22" s="105"/>
      <c r="CQ22" s="121"/>
      <c r="CR22" s="121"/>
      <c r="CT22" s="121"/>
      <c r="CU22" s="105"/>
      <c r="CV22" s="162"/>
      <c r="CW22" s="105"/>
      <c r="CX22" s="105"/>
      <c r="CY22" s="120"/>
      <c r="CZ22" s="121"/>
      <c r="DA22" s="105"/>
      <c r="DB22" s="121"/>
      <c r="DC22" s="121"/>
      <c r="DD22" s="105"/>
      <c r="DE22" s="121"/>
      <c r="DF22" s="121"/>
      <c r="DH22" s="121"/>
      <c r="DI22" s="105"/>
      <c r="DJ22" s="162"/>
      <c r="DK22" s="105"/>
      <c r="DL22" s="105"/>
      <c r="DM22" s="120"/>
      <c r="DN22" s="121"/>
      <c r="DO22" s="105"/>
      <c r="DP22" s="121"/>
      <c r="DQ22" s="121"/>
      <c r="DR22" s="105"/>
      <c r="DS22" s="121"/>
      <c r="DT22" s="121"/>
      <c r="DV22" s="121"/>
      <c r="DW22" s="105"/>
      <c r="DX22" s="162"/>
      <c r="DY22" s="105"/>
      <c r="DZ22" s="105"/>
      <c r="EA22" s="120"/>
      <c r="EB22" s="121"/>
      <c r="EC22" s="105"/>
      <c r="ED22" s="121"/>
      <c r="EE22" s="121"/>
      <c r="EF22" s="105"/>
      <c r="EG22" s="121"/>
      <c r="EH22" s="121"/>
      <c r="EJ22" s="121"/>
      <c r="EK22" s="105"/>
      <c r="EL22" s="162"/>
      <c r="EM22" s="72" t="s">
        <v>169</v>
      </c>
      <c r="EN22" s="74">
        <v>1150</v>
      </c>
      <c r="EP22" s="72" t="s">
        <v>77</v>
      </c>
      <c r="EU22" s="77">
        <v>1</v>
      </c>
      <c r="EY22" s="72" t="s">
        <v>195</v>
      </c>
      <c r="EZ22" s="72" t="s">
        <v>349</v>
      </c>
      <c r="FB22" s="78"/>
      <c r="FC22" s="78"/>
      <c r="FD22" s="162"/>
      <c r="FE22" s="78"/>
      <c r="FF22" s="78"/>
      <c r="FG22" s="78"/>
      <c r="FO22" s="162"/>
      <c r="FP22" s="78"/>
      <c r="FQ22" s="78"/>
      <c r="FR22" s="78"/>
    </row>
    <row r="23" spans="1:174" ht="15.95" customHeight="1" x14ac:dyDescent="0.25">
      <c r="A23" s="117"/>
      <c r="C23" s="118"/>
      <c r="D23" s="118"/>
      <c r="E23" s="162"/>
      <c r="F23" s="117" t="str">
        <f>mehrsprachigkeitBegriffsrückgabe(gewählteSpracheZurückgeben(), "Product (foreign language)")</f>
        <v>Produkt (Fremdsprache)</v>
      </c>
      <c r="G23" s="119"/>
      <c r="H23" s="119" t="s">
        <v>116</v>
      </c>
      <c r="I23" s="119" t="s">
        <v>102</v>
      </c>
      <c r="J23" s="119" t="s">
        <v>97</v>
      </c>
      <c r="K23" s="119"/>
      <c r="L23" s="162"/>
      <c r="M23" s="166"/>
      <c r="N23" s="119"/>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62"/>
      <c r="BB23" s="104" t="s">
        <v>149</v>
      </c>
      <c r="BC23" s="72" t="s">
        <v>103</v>
      </c>
      <c r="BF23" s="162"/>
      <c r="BG23" s="120" t="s">
        <v>163</v>
      </c>
      <c r="BH23" s="121"/>
      <c r="BI23" s="162"/>
      <c r="BJ23" s="105"/>
      <c r="BK23" s="121"/>
      <c r="BL23" s="121"/>
      <c r="BM23" s="105"/>
      <c r="BN23" s="121"/>
      <c r="BO23" s="121"/>
      <c r="BP23" s="162"/>
      <c r="BQ23" s="120" t="s">
        <v>163</v>
      </c>
      <c r="BR23" s="121"/>
      <c r="BS23" s="105"/>
      <c r="BT23" s="162"/>
      <c r="BU23" s="105"/>
      <c r="BV23" s="105"/>
      <c r="BW23" s="120"/>
      <c r="BX23" s="121"/>
      <c r="BY23" s="105"/>
      <c r="BZ23" s="121"/>
      <c r="CA23" s="121"/>
      <c r="CB23" s="105"/>
      <c r="CC23" s="121"/>
      <c r="CD23" s="121"/>
      <c r="CE23" s="120"/>
      <c r="CF23" s="121"/>
      <c r="CG23" s="105"/>
      <c r="CH23" s="162"/>
      <c r="CI23" s="105"/>
      <c r="CJ23" s="105"/>
      <c r="CK23" s="120"/>
      <c r="CL23" s="121"/>
      <c r="CM23" s="105"/>
      <c r="CN23" s="121"/>
      <c r="CO23" s="121"/>
      <c r="CP23" s="105"/>
      <c r="CQ23" s="121"/>
      <c r="CR23" s="121"/>
      <c r="CS23" s="120"/>
      <c r="CT23" s="121"/>
      <c r="CU23" s="105"/>
      <c r="CV23" s="162"/>
      <c r="CW23" s="105"/>
      <c r="CX23" s="105"/>
      <c r="CY23" s="120"/>
      <c r="CZ23" s="121"/>
      <c r="DA23" s="105"/>
      <c r="DB23" s="121"/>
      <c r="DC23" s="121"/>
      <c r="DD23" s="105"/>
      <c r="DE23" s="121"/>
      <c r="DF23" s="121"/>
      <c r="DG23" s="120"/>
      <c r="DH23" s="121"/>
      <c r="DI23" s="105"/>
      <c r="DJ23" s="162"/>
      <c r="DK23" s="105"/>
      <c r="DL23" s="105"/>
      <c r="DM23" s="120"/>
      <c r="DN23" s="121"/>
      <c r="DO23" s="105"/>
      <c r="DP23" s="121"/>
      <c r="DQ23" s="121"/>
      <c r="DR23" s="105"/>
      <c r="DS23" s="121"/>
      <c r="DT23" s="121"/>
      <c r="DU23" s="120"/>
      <c r="DV23" s="121"/>
      <c r="DW23" s="105"/>
      <c r="DX23" s="162"/>
      <c r="DY23" s="105"/>
      <c r="DZ23" s="105"/>
      <c r="EA23" s="120"/>
      <c r="EB23" s="121"/>
      <c r="EC23" s="105"/>
      <c r="ED23" s="121"/>
      <c r="EE23" s="121"/>
      <c r="EF23" s="105"/>
      <c r="EG23" s="121"/>
      <c r="EH23" s="121"/>
      <c r="EI23" s="120"/>
      <c r="EJ23" s="121"/>
      <c r="EK23" s="105"/>
      <c r="EL23" s="162"/>
      <c r="EP23" s="72" t="s">
        <v>104</v>
      </c>
      <c r="FB23" s="78"/>
      <c r="FC23" s="78"/>
      <c r="FD23" s="162"/>
      <c r="FE23" s="78"/>
      <c r="FF23" s="78"/>
      <c r="FG23" s="78"/>
      <c r="FO23" s="162"/>
      <c r="FP23" s="78"/>
      <c r="FQ23" s="78"/>
      <c r="FR23" s="78"/>
    </row>
    <row r="24" spans="1:174" ht="15.95" customHeight="1" x14ac:dyDescent="0.25">
      <c r="D24" s="70">
        <v>1</v>
      </c>
      <c r="E24" s="162"/>
      <c r="F24" s="71" t="str">
        <f>mehrsprachigkeitBegriffsrückgabe(gewählteSpracheZurückgeben(), "Product")</f>
        <v>Produkt</v>
      </c>
      <c r="G24" s="72" t="s">
        <v>117</v>
      </c>
      <c r="H24" s="72" t="s">
        <v>163</v>
      </c>
      <c r="I24" s="72" t="s">
        <v>87</v>
      </c>
      <c r="J24" s="72" t="s">
        <v>118</v>
      </c>
      <c r="K24" s="119"/>
      <c r="L24" s="162"/>
      <c r="M24" s="166" t="s">
        <v>342</v>
      </c>
      <c r="N24" s="119" t="s">
        <v>163</v>
      </c>
      <c r="O24" s="128" t="s">
        <v>343</v>
      </c>
      <c r="P24" s="128" t="s">
        <v>163</v>
      </c>
      <c r="BA24" s="162"/>
      <c r="BB24" s="104" t="s">
        <v>148</v>
      </c>
      <c r="BC24" s="72" t="s">
        <v>96</v>
      </c>
      <c r="BD24" s="72" t="s">
        <v>252</v>
      </c>
      <c r="BE24" s="72" t="s">
        <v>113</v>
      </c>
      <c r="BF24" s="162"/>
      <c r="BG24" s="83">
        <v>192.44</v>
      </c>
      <c r="BI24" s="162"/>
      <c r="BJ24" s="105">
        <v>1</v>
      </c>
      <c r="BK24" s="121" t="str">
        <f>mehrsprachigkeitBegriffsrückgabe(gewählteSpracheZurückgeben(), "Fixed scale price")</f>
        <v>Feste Preisangabe</v>
      </c>
      <c r="BL24" s="121" t="str">
        <f>mehrsprachigkeitBegriffsrückgabe(gewählteSpracheZurückgeben(), "Separated by products, variants and configurations")</f>
        <v>Produkte, Varianten und Konfigurationen getrennt</v>
      </c>
      <c r="BM24" s="105">
        <v>1</v>
      </c>
      <c r="BO24" s="73" t="s">
        <v>222</v>
      </c>
      <c r="BP24" s="162"/>
      <c r="BQ24" s="83" t="s">
        <v>163</v>
      </c>
      <c r="BS24" s="105"/>
      <c r="BT24" s="162"/>
      <c r="BU24" s="105"/>
      <c r="BV24" s="105"/>
      <c r="BY24" s="105"/>
      <c r="BZ24" s="121"/>
      <c r="CA24" s="121"/>
      <c r="CB24" s="105"/>
      <c r="CG24" s="105"/>
      <c r="CH24" s="162"/>
      <c r="CI24" s="105"/>
      <c r="CJ24" s="105"/>
      <c r="CM24" s="105"/>
      <c r="CN24" s="121"/>
      <c r="CO24" s="121"/>
      <c r="CP24" s="105"/>
      <c r="CU24" s="105"/>
      <c r="CV24" s="162"/>
      <c r="CW24" s="105"/>
      <c r="CX24" s="105"/>
      <c r="DA24" s="105"/>
      <c r="DB24" s="121"/>
      <c r="DC24" s="121"/>
      <c r="DD24" s="105"/>
      <c r="DI24" s="105"/>
      <c r="DJ24" s="162"/>
      <c r="DK24" s="105"/>
      <c r="DL24" s="105"/>
      <c r="DO24" s="105"/>
      <c r="DP24" s="121"/>
      <c r="DQ24" s="121"/>
      <c r="DR24" s="105"/>
      <c r="DW24" s="105"/>
      <c r="DX24" s="162"/>
      <c r="DY24" s="105"/>
      <c r="DZ24" s="105"/>
      <c r="EC24" s="105"/>
      <c r="ED24" s="121"/>
      <c r="EE24" s="121"/>
      <c r="EF24" s="105"/>
      <c r="EK24" s="105"/>
      <c r="EL24" s="162"/>
      <c r="EM24" s="72" t="s">
        <v>169</v>
      </c>
      <c r="EN24" s="74">
        <v>1260</v>
      </c>
      <c r="EP24" s="72" t="s">
        <v>77</v>
      </c>
      <c r="EV24" s="78" t="s">
        <v>238</v>
      </c>
      <c r="EY24" s="72" t="s">
        <v>167</v>
      </c>
      <c r="EZ24" s="72" t="s">
        <v>349</v>
      </c>
      <c r="FB24" s="78"/>
      <c r="FC24" s="78"/>
      <c r="FD24" s="162"/>
      <c r="FE24" s="78"/>
      <c r="FF24" s="78"/>
      <c r="FG24" s="78"/>
      <c r="FO24" s="162"/>
      <c r="FP24" s="78"/>
      <c r="FQ24" s="78"/>
      <c r="FR24" s="78"/>
    </row>
    <row r="25" spans="1:174" ht="15.95" customHeight="1" x14ac:dyDescent="0.25">
      <c r="E25" s="162"/>
      <c r="F25" s="71" t="str">
        <f>mehrsprachigkeitBegriffsrückgabe(gewählteSpracheZurückgeben(), "Product (foreign language)")</f>
        <v>Produkt (Fremdsprache)</v>
      </c>
      <c r="H25" s="72" t="s">
        <v>117</v>
      </c>
      <c r="I25" s="72" t="s">
        <v>102</v>
      </c>
      <c r="J25" s="72" t="s">
        <v>118</v>
      </c>
      <c r="L25" s="162"/>
      <c r="O25" s="119"/>
      <c r="P25" s="119"/>
      <c r="BA25" s="162"/>
      <c r="BB25" s="104" t="s">
        <v>149</v>
      </c>
      <c r="BC25" s="72" t="s">
        <v>103</v>
      </c>
      <c r="BF25" s="162"/>
      <c r="BG25" s="83" t="s">
        <v>163</v>
      </c>
      <c r="BI25" s="162"/>
      <c r="BJ25" s="105"/>
      <c r="BK25" s="121"/>
      <c r="BL25" s="121"/>
      <c r="BM25" s="105"/>
      <c r="BP25" s="162"/>
      <c r="BQ25" s="83" t="s">
        <v>163</v>
      </c>
      <c r="BS25" s="105"/>
      <c r="BT25" s="162"/>
      <c r="BU25" s="105"/>
      <c r="BV25" s="105"/>
      <c r="BY25" s="105"/>
      <c r="BZ25" s="121"/>
      <c r="CA25" s="121"/>
      <c r="CB25" s="105"/>
      <c r="CG25" s="105"/>
      <c r="CH25" s="162"/>
      <c r="CI25" s="105"/>
      <c r="CJ25" s="105"/>
      <c r="CM25" s="105"/>
      <c r="CN25" s="121"/>
      <c r="CO25" s="121"/>
      <c r="CP25" s="105"/>
      <c r="CU25" s="105"/>
      <c r="CV25" s="162"/>
      <c r="CW25" s="105"/>
      <c r="CX25" s="105"/>
      <c r="DA25" s="105"/>
      <c r="DB25" s="121"/>
      <c r="DC25" s="121"/>
      <c r="DD25" s="105"/>
      <c r="DI25" s="105"/>
      <c r="DJ25" s="162"/>
      <c r="DK25" s="105"/>
      <c r="DL25" s="105"/>
      <c r="DO25" s="105"/>
      <c r="DP25" s="121"/>
      <c r="DQ25" s="121"/>
      <c r="DR25" s="105"/>
      <c r="DW25" s="105"/>
      <c r="DX25" s="162"/>
      <c r="DY25" s="105"/>
      <c r="DZ25" s="105"/>
      <c r="EC25" s="105"/>
      <c r="ED25" s="121"/>
      <c r="EE25" s="121"/>
      <c r="EF25" s="105"/>
      <c r="EK25" s="105"/>
      <c r="EL25" s="162"/>
      <c r="EN25" s="106"/>
      <c r="EO25" s="107"/>
      <c r="EP25" s="72" t="s">
        <v>104</v>
      </c>
      <c r="EV25" s="78" t="s">
        <v>238</v>
      </c>
      <c r="EW25" s="108"/>
      <c r="EX25" s="108"/>
      <c r="EY25" s="108"/>
      <c r="EZ25" s="108"/>
      <c r="FB25" s="78"/>
      <c r="FC25" s="78"/>
      <c r="FD25" s="162"/>
      <c r="FE25" s="78"/>
      <c r="FF25" s="78"/>
      <c r="FG25" s="78"/>
      <c r="FO25" s="162"/>
      <c r="FP25" s="78"/>
      <c r="FQ25" s="78"/>
      <c r="FR25" s="78"/>
    </row>
    <row r="26" spans="1:174" ht="15.95" customHeight="1" x14ac:dyDescent="0.25">
      <c r="D26" s="70">
        <v>1</v>
      </c>
      <c r="E26" s="162"/>
      <c r="F26" s="71" t="str">
        <f>mehrsprachigkeitBegriffsrückgabe(gewählteSpracheZurückgeben(), "Product")</f>
        <v>Produkt</v>
      </c>
      <c r="G26" s="72" t="s">
        <v>174</v>
      </c>
      <c r="H26" s="72" t="s">
        <v>163</v>
      </c>
      <c r="I26" s="72" t="s">
        <v>87</v>
      </c>
      <c r="J26" s="72" t="s">
        <v>175</v>
      </c>
      <c r="L26" s="162"/>
      <c r="M26" s="167" t="s">
        <v>342</v>
      </c>
      <c r="N26" s="72" t="s">
        <v>163</v>
      </c>
      <c r="O26" s="128" t="s">
        <v>343</v>
      </c>
      <c r="P26" s="128" t="s">
        <v>163</v>
      </c>
      <c r="BA26" s="162"/>
      <c r="BB26" s="104" t="s">
        <v>148</v>
      </c>
      <c r="BC26" s="72" t="s">
        <v>96</v>
      </c>
      <c r="BD26" s="72" t="s">
        <v>251</v>
      </c>
      <c r="BE26" s="72" t="s">
        <v>99</v>
      </c>
      <c r="BF26" s="162"/>
      <c r="BG26" s="83">
        <v>116.81</v>
      </c>
      <c r="BI26" s="162"/>
      <c r="BJ26" s="105">
        <v>1</v>
      </c>
      <c r="BK26" s="121" t="str">
        <f>mehrsprachigkeitBegriffsrückgabe(gewählteSpracheZurückgeben(), "Fixed scale price")</f>
        <v>Feste Preisangabe</v>
      </c>
      <c r="BL26" s="121" t="str">
        <f>mehrsprachigkeitBegriffsrückgabe(gewählteSpracheZurückgeben(), "Separated by products, variants and configurations")</f>
        <v>Produkte, Varianten und Konfigurationen getrennt</v>
      </c>
      <c r="BM26" s="105">
        <v>1</v>
      </c>
      <c r="BO26" s="73" t="s">
        <v>231</v>
      </c>
      <c r="BP26" s="162"/>
      <c r="BQ26" s="83">
        <v>125.21</v>
      </c>
      <c r="BS26" s="105">
        <v>1</v>
      </c>
      <c r="BT26" s="162"/>
      <c r="BU26" s="105"/>
      <c r="BV26" s="105"/>
      <c r="BY26" s="105"/>
      <c r="BZ26" s="121"/>
      <c r="CA26" s="121"/>
      <c r="CB26" s="105"/>
      <c r="CG26" s="105"/>
      <c r="CH26" s="162"/>
      <c r="CI26" s="105"/>
      <c r="CJ26" s="105"/>
      <c r="CM26" s="105"/>
      <c r="CN26" s="121"/>
      <c r="CO26" s="121"/>
      <c r="CP26" s="105"/>
      <c r="CU26" s="105"/>
      <c r="CV26" s="162"/>
      <c r="CW26" s="105"/>
      <c r="CX26" s="105"/>
      <c r="DA26" s="105"/>
      <c r="DB26" s="121"/>
      <c r="DC26" s="121"/>
      <c r="DD26" s="105"/>
      <c r="DI26" s="105"/>
      <c r="DJ26" s="162"/>
      <c r="DK26" s="105"/>
      <c r="DL26" s="105"/>
      <c r="DO26" s="105"/>
      <c r="DP26" s="121"/>
      <c r="DQ26" s="121"/>
      <c r="DR26" s="105"/>
      <c r="DW26" s="105"/>
      <c r="DX26" s="162"/>
      <c r="DY26" s="105"/>
      <c r="DZ26" s="105"/>
      <c r="EC26" s="105"/>
      <c r="ED26" s="121"/>
      <c r="EE26" s="121"/>
      <c r="EF26" s="105"/>
      <c r="EK26" s="105"/>
      <c r="EL26" s="162"/>
      <c r="EM26" s="72" t="s">
        <v>169</v>
      </c>
      <c r="EN26" s="74">
        <v>1240</v>
      </c>
      <c r="EP26" s="72" t="s">
        <v>77</v>
      </c>
      <c r="EU26" s="77">
        <v>1</v>
      </c>
      <c r="EY26" s="72" t="s">
        <v>204</v>
      </c>
      <c r="EZ26" s="72" t="s">
        <v>349</v>
      </c>
      <c r="FB26" s="78"/>
      <c r="FC26" s="78"/>
      <c r="FD26" s="162"/>
      <c r="FE26" s="78"/>
      <c r="FF26" s="78"/>
      <c r="FG26" s="78"/>
      <c r="FO26" s="162"/>
      <c r="FP26" s="78"/>
      <c r="FQ26" s="78"/>
      <c r="FR26" s="78"/>
    </row>
    <row r="27" spans="1:174" ht="15.95" customHeight="1" x14ac:dyDescent="0.25">
      <c r="E27" s="162"/>
      <c r="F27" s="71" t="str">
        <f>mehrsprachigkeitBegriffsrückgabe(gewählteSpracheZurückgeben(), "Product (foreign language)")</f>
        <v>Produkt (Fremdsprache)</v>
      </c>
      <c r="H27" s="72" t="s">
        <v>174</v>
      </c>
      <c r="I27" s="72" t="s">
        <v>102</v>
      </c>
      <c r="J27" s="72" t="s">
        <v>175</v>
      </c>
      <c r="L27" s="162"/>
      <c r="N27" s="72" t="s">
        <v>163</v>
      </c>
      <c r="O27" s="119"/>
      <c r="P27" s="119"/>
      <c r="BA27" s="162"/>
      <c r="BB27" s="104" t="s">
        <v>149</v>
      </c>
      <c r="BC27" s="72" t="s">
        <v>103</v>
      </c>
      <c r="BF27" s="162"/>
      <c r="BG27" s="83" t="s">
        <v>163</v>
      </c>
      <c r="BI27" s="162"/>
      <c r="BJ27" s="105"/>
      <c r="BK27" s="121"/>
      <c r="BL27" s="121"/>
      <c r="BM27" s="105"/>
      <c r="BP27" s="162"/>
      <c r="BQ27" s="83" t="s">
        <v>163</v>
      </c>
      <c r="BS27" s="105"/>
      <c r="BT27" s="162"/>
      <c r="BU27" s="105"/>
      <c r="BV27" s="105"/>
      <c r="BY27" s="105"/>
      <c r="BZ27" s="121"/>
      <c r="CA27" s="121"/>
      <c r="CB27" s="105"/>
      <c r="CG27" s="105"/>
      <c r="CH27" s="162"/>
      <c r="CI27" s="105"/>
      <c r="CJ27" s="105"/>
      <c r="CM27" s="105"/>
      <c r="CN27" s="121"/>
      <c r="CO27" s="121"/>
      <c r="CP27" s="105"/>
      <c r="CU27" s="105"/>
      <c r="CV27" s="162"/>
      <c r="CW27" s="105"/>
      <c r="CX27" s="105"/>
      <c r="DA27" s="105"/>
      <c r="DB27" s="121"/>
      <c r="DC27" s="121"/>
      <c r="DD27" s="105"/>
      <c r="DI27" s="105"/>
      <c r="DJ27" s="162"/>
      <c r="DK27" s="105"/>
      <c r="DL27" s="105"/>
      <c r="DO27" s="105"/>
      <c r="DP27" s="121"/>
      <c r="DQ27" s="121"/>
      <c r="DR27" s="105"/>
      <c r="DW27" s="105"/>
      <c r="DX27" s="162"/>
      <c r="DY27" s="105"/>
      <c r="DZ27" s="105"/>
      <c r="EC27" s="105"/>
      <c r="ED27" s="121"/>
      <c r="EE27" s="121"/>
      <c r="EF27" s="105"/>
      <c r="EK27" s="105"/>
      <c r="EL27" s="162"/>
      <c r="EN27" s="106"/>
      <c r="EO27" s="107"/>
      <c r="EP27" s="72" t="s">
        <v>104</v>
      </c>
      <c r="EW27" s="108"/>
      <c r="EX27" s="108"/>
      <c r="EY27" s="108"/>
      <c r="EZ27" s="108"/>
      <c r="FB27" s="78"/>
      <c r="FC27" s="78"/>
      <c r="FD27" s="162"/>
      <c r="FE27" s="78"/>
      <c r="FF27" s="78"/>
      <c r="FG27" s="78"/>
      <c r="FO27" s="162"/>
      <c r="FP27" s="78"/>
      <c r="FQ27" s="78"/>
      <c r="FR27" s="78"/>
    </row>
    <row r="28" spans="1:174" ht="15.95" customHeight="1" x14ac:dyDescent="0.25">
      <c r="D28" s="70">
        <v>1</v>
      </c>
      <c r="E28" s="162"/>
      <c r="F28" s="71" t="str">
        <f>mehrsprachigkeitBegriffsrückgabe(gewählteSpracheZurückgeben(), "Product")</f>
        <v>Produkt</v>
      </c>
      <c r="G28" s="72" t="s">
        <v>176</v>
      </c>
      <c r="H28" s="72" t="s">
        <v>163</v>
      </c>
      <c r="I28" s="72" t="s">
        <v>87</v>
      </c>
      <c r="J28" s="72" t="s">
        <v>177</v>
      </c>
      <c r="L28" s="162"/>
      <c r="M28" s="167" t="s">
        <v>342</v>
      </c>
      <c r="N28" s="72" t="s">
        <v>163</v>
      </c>
      <c r="O28" s="128" t="s">
        <v>343</v>
      </c>
      <c r="P28" s="128" t="s">
        <v>163</v>
      </c>
      <c r="BA28" s="162"/>
      <c r="BB28" s="104" t="s">
        <v>148</v>
      </c>
      <c r="BC28" s="72" t="s">
        <v>96</v>
      </c>
      <c r="BD28" s="72" t="s">
        <v>251</v>
      </c>
      <c r="BE28" s="72" t="s">
        <v>109</v>
      </c>
      <c r="BF28" s="162"/>
      <c r="BG28" s="83">
        <v>156.30000000000001</v>
      </c>
      <c r="BI28" s="162"/>
      <c r="BJ28" s="105">
        <v>1</v>
      </c>
      <c r="BK28" s="121" t="str">
        <f>mehrsprachigkeitBegriffsrückgabe(gewählteSpracheZurückgeben(), "Fixed scale price")</f>
        <v>Feste Preisangabe</v>
      </c>
      <c r="BL28" s="121" t="str">
        <f>mehrsprachigkeitBegriffsrückgabe(gewählteSpracheZurückgeben(), "Separated by products, variants and configurations")</f>
        <v>Produkte, Varianten und Konfigurationen getrennt</v>
      </c>
      <c r="BM28" s="105">
        <v>1</v>
      </c>
      <c r="BO28" s="73" t="s">
        <v>224</v>
      </c>
      <c r="BP28" s="162"/>
      <c r="BQ28" s="83" t="s">
        <v>163</v>
      </c>
      <c r="BS28" s="105"/>
      <c r="BT28" s="162"/>
      <c r="BU28" s="105"/>
      <c r="BV28" s="105"/>
      <c r="BY28" s="105"/>
      <c r="BZ28" s="121"/>
      <c r="CA28" s="121"/>
      <c r="CB28" s="105"/>
      <c r="CG28" s="105"/>
      <c r="CH28" s="162"/>
      <c r="CI28" s="105"/>
      <c r="CJ28" s="105"/>
      <c r="CM28" s="105"/>
      <c r="CN28" s="121"/>
      <c r="CO28" s="121"/>
      <c r="CP28" s="105"/>
      <c r="CU28" s="105"/>
      <c r="CV28" s="162"/>
      <c r="CW28" s="105"/>
      <c r="CX28" s="105"/>
      <c r="DA28" s="105"/>
      <c r="DB28" s="121"/>
      <c r="DC28" s="121"/>
      <c r="DD28" s="105"/>
      <c r="DI28" s="105"/>
      <c r="DJ28" s="162"/>
      <c r="DK28" s="105"/>
      <c r="DL28" s="105"/>
      <c r="DO28" s="105"/>
      <c r="DP28" s="121"/>
      <c r="DQ28" s="121"/>
      <c r="DR28" s="105"/>
      <c r="DW28" s="105"/>
      <c r="DX28" s="162"/>
      <c r="DY28" s="105"/>
      <c r="DZ28" s="105"/>
      <c r="EC28" s="105"/>
      <c r="ED28" s="121"/>
      <c r="EE28" s="121"/>
      <c r="EF28" s="105"/>
      <c r="EK28" s="105"/>
      <c r="EL28" s="162"/>
      <c r="EM28" s="72" t="s">
        <v>169</v>
      </c>
      <c r="EN28" s="74">
        <v>1450</v>
      </c>
      <c r="EP28" s="72" t="s">
        <v>77</v>
      </c>
      <c r="ET28" s="77">
        <v>1</v>
      </c>
      <c r="EV28" s="78" t="s">
        <v>238</v>
      </c>
      <c r="EY28" s="72" t="s">
        <v>180</v>
      </c>
      <c r="EZ28" s="72" t="s">
        <v>349</v>
      </c>
      <c r="FB28" s="78"/>
      <c r="FC28" s="78"/>
      <c r="FD28" s="162"/>
      <c r="FE28" s="78"/>
      <c r="FF28" s="78"/>
      <c r="FG28" s="78"/>
      <c r="FO28" s="162"/>
      <c r="FP28" s="78"/>
      <c r="FQ28" s="78"/>
      <c r="FR28" s="78"/>
    </row>
    <row r="29" spans="1:174" ht="15.95" customHeight="1" x14ac:dyDescent="0.25">
      <c r="E29" s="162"/>
      <c r="F29" s="71" t="str">
        <f>mehrsprachigkeitBegriffsrückgabe(gewählteSpracheZurückgeben(), "Product (foreign language)")</f>
        <v>Produkt (Fremdsprache)</v>
      </c>
      <c r="H29" s="72" t="s">
        <v>176</v>
      </c>
      <c r="I29" s="72" t="s">
        <v>102</v>
      </c>
      <c r="J29" s="72" t="s">
        <v>177</v>
      </c>
      <c r="L29" s="162"/>
      <c r="O29" s="119"/>
      <c r="P29" s="119"/>
      <c r="BA29" s="162"/>
      <c r="BB29" s="104" t="s">
        <v>149</v>
      </c>
      <c r="BC29" s="72" t="s">
        <v>103</v>
      </c>
      <c r="BF29" s="162"/>
      <c r="BG29" s="83" t="s">
        <v>163</v>
      </c>
      <c r="BI29" s="162"/>
      <c r="BJ29" s="105"/>
      <c r="BK29" s="121"/>
      <c r="BL29" s="121"/>
      <c r="BM29" s="105"/>
      <c r="BP29" s="162"/>
      <c r="BQ29" s="83" t="s">
        <v>163</v>
      </c>
      <c r="BS29" s="105"/>
      <c r="BT29" s="162"/>
      <c r="BU29" s="105"/>
      <c r="BV29" s="105"/>
      <c r="BY29" s="105"/>
      <c r="BZ29" s="121"/>
      <c r="CA29" s="121"/>
      <c r="CB29" s="105"/>
      <c r="CG29" s="105"/>
      <c r="CH29" s="162"/>
      <c r="CI29" s="105"/>
      <c r="CJ29" s="105"/>
      <c r="CM29" s="105"/>
      <c r="CN29" s="121"/>
      <c r="CO29" s="121"/>
      <c r="CP29" s="105"/>
      <c r="CU29" s="105"/>
      <c r="CV29" s="162"/>
      <c r="CW29" s="105"/>
      <c r="CX29" s="105"/>
      <c r="DA29" s="105"/>
      <c r="DB29" s="121"/>
      <c r="DC29" s="121"/>
      <c r="DD29" s="105"/>
      <c r="DI29" s="105"/>
      <c r="DJ29" s="162"/>
      <c r="DK29" s="105"/>
      <c r="DL29" s="105"/>
      <c r="DO29" s="105"/>
      <c r="DP29" s="121"/>
      <c r="DQ29" s="121"/>
      <c r="DR29" s="105"/>
      <c r="DW29" s="105"/>
      <c r="DX29" s="162"/>
      <c r="DY29" s="105"/>
      <c r="DZ29" s="105"/>
      <c r="EC29" s="105"/>
      <c r="ED29" s="121"/>
      <c r="EE29" s="121"/>
      <c r="EF29" s="105"/>
      <c r="EK29" s="105"/>
      <c r="EL29" s="162"/>
      <c r="EN29" s="106"/>
      <c r="EO29" s="107"/>
      <c r="EP29" s="72" t="s">
        <v>104</v>
      </c>
      <c r="EV29" s="78" t="s">
        <v>238</v>
      </c>
      <c r="EW29" s="108"/>
      <c r="EX29" s="108"/>
      <c r="EY29" s="108"/>
      <c r="EZ29" s="108"/>
      <c r="FB29" s="78"/>
      <c r="FC29" s="78"/>
      <c r="FD29" s="162"/>
      <c r="FE29" s="78"/>
      <c r="FF29" s="78"/>
      <c r="FG29" s="78"/>
      <c r="FO29" s="162"/>
      <c r="FP29" s="78"/>
      <c r="FQ29" s="78"/>
      <c r="FR29" s="78"/>
    </row>
    <row r="30" spans="1:174" ht="15.95" customHeight="1" x14ac:dyDescent="0.25">
      <c r="D30" s="70">
        <v>1</v>
      </c>
      <c r="E30" s="162"/>
      <c r="F30" s="71" t="str">
        <f>mehrsprachigkeitBegriffsrückgabe(gewählteSpracheZurückgeben(), "Product")</f>
        <v>Produkt</v>
      </c>
      <c r="G30" s="72" t="s">
        <v>178</v>
      </c>
      <c r="H30" s="72" t="s">
        <v>163</v>
      </c>
      <c r="I30" s="72" t="s">
        <v>87</v>
      </c>
      <c r="J30" s="72" t="s">
        <v>179</v>
      </c>
      <c r="L30" s="162"/>
      <c r="M30" s="167" t="s">
        <v>342</v>
      </c>
      <c r="N30" s="72" t="s">
        <v>163</v>
      </c>
      <c r="O30" s="128" t="s">
        <v>343</v>
      </c>
      <c r="P30" s="128" t="s">
        <v>163</v>
      </c>
      <c r="BA30" s="162"/>
      <c r="BB30" s="104" t="s">
        <v>148</v>
      </c>
      <c r="BC30" s="72" t="s">
        <v>96</v>
      </c>
      <c r="BD30" s="72" t="s">
        <v>253</v>
      </c>
      <c r="BE30" s="72" t="s">
        <v>97</v>
      </c>
      <c r="BF30" s="162"/>
      <c r="BG30" s="83">
        <v>74.790000000000006</v>
      </c>
      <c r="BI30" s="162"/>
      <c r="BJ30" s="105">
        <v>1</v>
      </c>
      <c r="BK30" s="121" t="str">
        <f>mehrsprachigkeitBegriffsrückgabe(gewählteSpracheZurückgeben(), "Fixed scale price")</f>
        <v>Feste Preisangabe</v>
      </c>
      <c r="BL30" s="121" t="str">
        <f>mehrsprachigkeitBegriffsrückgabe(gewählteSpracheZurückgeben(), "Separated by products, variants and configurations")</f>
        <v>Produkte, Varianten und Konfigurationen getrennt</v>
      </c>
      <c r="BM30" s="105">
        <v>1</v>
      </c>
      <c r="BO30" s="73" t="s">
        <v>225</v>
      </c>
      <c r="BP30" s="162"/>
      <c r="BQ30" s="83">
        <v>91.6</v>
      </c>
      <c r="BS30" s="105">
        <v>1</v>
      </c>
      <c r="BT30" s="162"/>
      <c r="BU30" s="105"/>
      <c r="BV30" s="105"/>
      <c r="BY30" s="105"/>
      <c r="BZ30" s="121"/>
      <c r="CA30" s="121"/>
      <c r="CB30" s="105"/>
      <c r="CG30" s="105"/>
      <c r="CH30" s="162"/>
      <c r="CI30" s="105"/>
      <c r="CJ30" s="105"/>
      <c r="CM30" s="105"/>
      <c r="CN30" s="121"/>
      <c r="CO30" s="121"/>
      <c r="CP30" s="105"/>
      <c r="CU30" s="105"/>
      <c r="CV30" s="162"/>
      <c r="CW30" s="105"/>
      <c r="CX30" s="105"/>
      <c r="DA30" s="105"/>
      <c r="DB30" s="121"/>
      <c r="DC30" s="121"/>
      <c r="DD30" s="105"/>
      <c r="DI30" s="105"/>
      <c r="DJ30" s="162"/>
      <c r="DK30" s="105"/>
      <c r="DL30" s="105"/>
      <c r="DO30" s="105"/>
      <c r="DP30" s="121"/>
      <c r="DQ30" s="121"/>
      <c r="DR30" s="105"/>
      <c r="DW30" s="105"/>
      <c r="DX30" s="162"/>
      <c r="DY30" s="105"/>
      <c r="DZ30" s="105"/>
      <c r="EC30" s="105"/>
      <c r="ED30" s="121"/>
      <c r="EE30" s="121"/>
      <c r="EF30" s="105"/>
      <c r="EK30" s="105"/>
      <c r="EL30" s="162"/>
      <c r="EM30" s="72" t="s">
        <v>169</v>
      </c>
      <c r="EN30" s="74">
        <v>1260</v>
      </c>
      <c r="EP30" s="72" t="s">
        <v>77</v>
      </c>
      <c r="EU30" s="77">
        <v>1</v>
      </c>
      <c r="EY30" s="72" t="s">
        <v>181</v>
      </c>
      <c r="EZ30" s="72" t="s">
        <v>348</v>
      </c>
      <c r="FB30" s="78"/>
      <c r="FC30" s="78"/>
      <c r="FD30" s="162"/>
      <c r="FE30" s="78"/>
      <c r="FF30" s="78"/>
      <c r="FG30" s="78"/>
      <c r="FO30" s="162"/>
      <c r="FP30" s="78"/>
      <c r="FQ30" s="78"/>
      <c r="FR30" s="78"/>
    </row>
    <row r="31" spans="1:174" ht="15.95" customHeight="1" x14ac:dyDescent="0.25">
      <c r="E31" s="162"/>
      <c r="F31" s="71" t="str">
        <f>mehrsprachigkeitBegriffsrückgabe(gewählteSpracheZurückgeben(), "Product (foreign language)")</f>
        <v>Produkt (Fremdsprache)</v>
      </c>
      <c r="H31" s="72" t="s">
        <v>178</v>
      </c>
      <c r="I31" s="72" t="s">
        <v>102</v>
      </c>
      <c r="J31" s="72" t="s">
        <v>179</v>
      </c>
      <c r="L31" s="162"/>
      <c r="O31" s="119"/>
      <c r="P31" s="119"/>
      <c r="BA31" s="162"/>
      <c r="BB31" s="104" t="s">
        <v>149</v>
      </c>
      <c r="BC31" s="72" t="s">
        <v>103</v>
      </c>
      <c r="BF31" s="162"/>
      <c r="BG31" s="83" t="s">
        <v>163</v>
      </c>
      <c r="BI31" s="162"/>
      <c r="BJ31" s="105"/>
      <c r="BK31" s="121"/>
      <c r="BL31" s="121"/>
      <c r="BM31" s="105"/>
      <c r="BP31" s="162"/>
      <c r="BQ31" s="83" t="s">
        <v>163</v>
      </c>
      <c r="BS31" s="105"/>
      <c r="BT31" s="162"/>
      <c r="BU31" s="105"/>
      <c r="BV31" s="105"/>
      <c r="BY31" s="105"/>
      <c r="BZ31" s="121"/>
      <c r="CA31" s="121"/>
      <c r="CB31" s="105"/>
      <c r="CG31" s="105"/>
      <c r="CH31" s="162"/>
      <c r="CI31" s="105"/>
      <c r="CJ31" s="105"/>
      <c r="CM31" s="105"/>
      <c r="CN31" s="121"/>
      <c r="CO31" s="121"/>
      <c r="CP31" s="105"/>
      <c r="CU31" s="105"/>
      <c r="CV31" s="162"/>
      <c r="CW31" s="105"/>
      <c r="CX31" s="105"/>
      <c r="DA31" s="105"/>
      <c r="DB31" s="121"/>
      <c r="DC31" s="121"/>
      <c r="DD31" s="105"/>
      <c r="DI31" s="105"/>
      <c r="DJ31" s="162"/>
      <c r="DK31" s="105"/>
      <c r="DL31" s="105"/>
      <c r="DO31" s="105"/>
      <c r="DP31" s="121"/>
      <c r="DQ31" s="121"/>
      <c r="DR31" s="105"/>
      <c r="DW31" s="105"/>
      <c r="DX31" s="162"/>
      <c r="DY31" s="105"/>
      <c r="DZ31" s="105"/>
      <c r="EC31" s="105"/>
      <c r="ED31" s="121"/>
      <c r="EE31" s="121"/>
      <c r="EF31" s="105"/>
      <c r="EK31" s="105"/>
      <c r="EL31" s="162"/>
      <c r="EN31" s="106"/>
      <c r="EO31" s="107"/>
      <c r="EP31" s="72" t="s">
        <v>104</v>
      </c>
      <c r="EW31" s="108"/>
      <c r="EX31" s="108"/>
      <c r="EY31" s="108"/>
      <c r="EZ31" s="108"/>
      <c r="FB31" s="78"/>
      <c r="FC31" s="78"/>
      <c r="FD31" s="162"/>
      <c r="FE31" s="78"/>
      <c r="FF31" s="78"/>
      <c r="FG31" s="78"/>
      <c r="FO31" s="162"/>
      <c r="FP31" s="78"/>
      <c r="FQ31" s="78"/>
      <c r="FR31" s="78"/>
    </row>
    <row r="32" spans="1:174" ht="15.95" customHeight="1" x14ac:dyDescent="0.25">
      <c r="D32" s="70">
        <v>1</v>
      </c>
      <c r="E32" s="162"/>
      <c r="F32" s="71" t="str">
        <f>mehrsprachigkeitBegriffsrückgabe(gewählteSpracheZurückgeben(), "Product")</f>
        <v>Produkt</v>
      </c>
      <c r="G32" s="72" t="s">
        <v>183</v>
      </c>
      <c r="H32" s="72" t="s">
        <v>163</v>
      </c>
      <c r="I32" s="72" t="s">
        <v>87</v>
      </c>
      <c r="J32" s="72" t="s">
        <v>182</v>
      </c>
      <c r="L32" s="162"/>
      <c r="M32" s="167" t="s">
        <v>342</v>
      </c>
      <c r="N32" s="72" t="s">
        <v>163</v>
      </c>
      <c r="O32" s="128" t="s">
        <v>343</v>
      </c>
      <c r="P32" s="128" t="s">
        <v>163</v>
      </c>
      <c r="BA32" s="162"/>
      <c r="BB32" s="104" t="s">
        <v>148</v>
      </c>
      <c r="BC32" s="72" t="s">
        <v>96</v>
      </c>
      <c r="BD32" s="72" t="s">
        <v>253</v>
      </c>
      <c r="BE32" s="72" t="s">
        <v>97</v>
      </c>
      <c r="BF32" s="162"/>
      <c r="BG32" s="83">
        <v>66.39</v>
      </c>
      <c r="BI32" s="162"/>
      <c r="BJ32" s="105">
        <v>1</v>
      </c>
      <c r="BK32" s="121" t="str">
        <f>mehrsprachigkeitBegriffsrückgabe(gewählteSpracheZurückgeben(), "Fixed scale price")</f>
        <v>Feste Preisangabe</v>
      </c>
      <c r="BL32" s="121" t="str">
        <f>mehrsprachigkeitBegriffsrückgabe(gewählteSpracheZurückgeben(), "Separated by products, variants and configurations")</f>
        <v>Produkte, Varianten und Konfigurationen getrennt</v>
      </c>
      <c r="BM32" s="105">
        <v>1</v>
      </c>
      <c r="BO32" s="73" t="s">
        <v>230</v>
      </c>
      <c r="BP32" s="162"/>
      <c r="BQ32" s="83" t="s">
        <v>163</v>
      </c>
      <c r="BS32" s="105"/>
      <c r="BT32" s="162"/>
      <c r="BU32" s="105"/>
      <c r="BV32" s="105"/>
      <c r="BY32" s="105"/>
      <c r="BZ32" s="121"/>
      <c r="CA32" s="121"/>
      <c r="CB32" s="105"/>
      <c r="CG32" s="105"/>
      <c r="CH32" s="162"/>
      <c r="CI32" s="105"/>
      <c r="CJ32" s="105"/>
      <c r="CM32" s="105"/>
      <c r="CN32" s="121"/>
      <c r="CO32" s="121"/>
      <c r="CP32" s="105"/>
      <c r="CU32" s="105"/>
      <c r="CV32" s="162"/>
      <c r="CW32" s="105"/>
      <c r="CX32" s="105"/>
      <c r="DA32" s="105"/>
      <c r="DB32" s="121"/>
      <c r="DC32" s="121"/>
      <c r="DD32" s="105"/>
      <c r="DI32" s="105"/>
      <c r="DJ32" s="162"/>
      <c r="DK32" s="105"/>
      <c r="DL32" s="105"/>
      <c r="DO32" s="105"/>
      <c r="DP32" s="121"/>
      <c r="DQ32" s="121"/>
      <c r="DR32" s="105"/>
      <c r="DW32" s="105"/>
      <c r="DX32" s="162"/>
      <c r="DY32" s="105"/>
      <c r="DZ32" s="105"/>
      <c r="EC32" s="105"/>
      <c r="ED32" s="121"/>
      <c r="EE32" s="121"/>
      <c r="EF32" s="105"/>
      <c r="EK32" s="105"/>
      <c r="EL32" s="162"/>
      <c r="EM32" s="72" t="s">
        <v>169</v>
      </c>
      <c r="EN32" s="74">
        <v>1790</v>
      </c>
      <c r="EP32" s="72" t="s">
        <v>77</v>
      </c>
      <c r="EV32" s="78" t="s">
        <v>238</v>
      </c>
      <c r="EY32" s="72" t="s">
        <v>184</v>
      </c>
      <c r="EZ32" s="72" t="s">
        <v>349</v>
      </c>
      <c r="FB32" s="78"/>
      <c r="FC32" s="78"/>
      <c r="FD32" s="162"/>
      <c r="FE32" s="78"/>
      <c r="FF32" s="78"/>
      <c r="FG32" s="78"/>
      <c r="FO32" s="162"/>
      <c r="FP32" s="78"/>
      <c r="FQ32" s="78"/>
      <c r="FR32" s="78"/>
    </row>
    <row r="33" spans="1:174" ht="15.95" customHeight="1" x14ac:dyDescent="0.25">
      <c r="E33" s="162"/>
      <c r="F33" s="71" t="str">
        <f>mehrsprachigkeitBegriffsrückgabe(gewählteSpracheZurückgeben(), "Product (foreign language)")</f>
        <v>Produkt (Fremdsprache)</v>
      </c>
      <c r="H33" s="72" t="s">
        <v>183</v>
      </c>
      <c r="I33" s="72" t="s">
        <v>102</v>
      </c>
      <c r="J33" s="72" t="s">
        <v>182</v>
      </c>
      <c r="L33" s="162"/>
      <c r="O33" s="119"/>
      <c r="P33" s="119"/>
      <c r="BA33" s="162"/>
      <c r="BB33" s="104" t="s">
        <v>149</v>
      </c>
      <c r="BC33" s="72" t="s">
        <v>103</v>
      </c>
      <c r="BF33" s="162"/>
      <c r="BG33" s="83" t="s">
        <v>163</v>
      </c>
      <c r="BI33" s="162"/>
      <c r="BJ33" s="105"/>
      <c r="BK33" s="121"/>
      <c r="BL33" s="121"/>
      <c r="BM33" s="105"/>
      <c r="BP33" s="162"/>
      <c r="BQ33" s="83" t="s">
        <v>163</v>
      </c>
      <c r="BS33" s="105"/>
      <c r="BT33" s="162"/>
      <c r="BU33" s="105"/>
      <c r="BV33" s="105"/>
      <c r="BY33" s="105"/>
      <c r="BZ33" s="121"/>
      <c r="CA33" s="121"/>
      <c r="CB33" s="105"/>
      <c r="CG33" s="105"/>
      <c r="CH33" s="162"/>
      <c r="CI33" s="105"/>
      <c r="CJ33" s="105"/>
      <c r="CM33" s="105"/>
      <c r="CN33" s="121"/>
      <c r="CO33" s="121"/>
      <c r="CP33" s="105"/>
      <c r="CU33" s="105"/>
      <c r="CV33" s="162"/>
      <c r="CW33" s="105"/>
      <c r="CX33" s="105"/>
      <c r="DA33" s="105"/>
      <c r="DB33" s="121"/>
      <c r="DC33" s="121"/>
      <c r="DD33" s="105"/>
      <c r="DI33" s="105"/>
      <c r="DJ33" s="162"/>
      <c r="DK33" s="105"/>
      <c r="DL33" s="105"/>
      <c r="DO33" s="105"/>
      <c r="DP33" s="121"/>
      <c r="DQ33" s="121"/>
      <c r="DR33" s="105"/>
      <c r="DW33" s="105"/>
      <c r="DX33" s="162"/>
      <c r="DY33" s="105"/>
      <c r="DZ33" s="105"/>
      <c r="EC33" s="105"/>
      <c r="ED33" s="121"/>
      <c r="EE33" s="121"/>
      <c r="EF33" s="105"/>
      <c r="EK33" s="105"/>
      <c r="EL33" s="162"/>
      <c r="EN33" s="106"/>
      <c r="EO33" s="107"/>
      <c r="EP33" s="72" t="s">
        <v>104</v>
      </c>
      <c r="EV33" s="78" t="s">
        <v>238</v>
      </c>
      <c r="EW33" s="108"/>
      <c r="EX33" s="108"/>
      <c r="EY33" s="108"/>
      <c r="EZ33" s="108"/>
      <c r="FB33" s="78"/>
      <c r="FC33" s="78"/>
      <c r="FD33" s="162"/>
      <c r="FE33" s="78"/>
      <c r="FF33" s="78"/>
      <c r="FG33" s="78"/>
      <c r="FO33" s="162"/>
      <c r="FP33" s="78"/>
      <c r="FQ33" s="78"/>
      <c r="FR33" s="78"/>
    </row>
    <row r="34" spans="1:174" ht="15.95" customHeight="1" x14ac:dyDescent="0.25">
      <c r="D34" s="70">
        <v>1</v>
      </c>
      <c r="E34" s="162"/>
      <c r="F34" s="71" t="str">
        <f>mehrsprachigkeitBegriffsrückgabe(gewählteSpracheZurückgeben(), "Product")</f>
        <v>Produkt</v>
      </c>
      <c r="G34" s="72" t="s">
        <v>185</v>
      </c>
      <c r="H34" s="72" t="s">
        <v>163</v>
      </c>
      <c r="I34" s="72" t="s">
        <v>87</v>
      </c>
      <c r="J34" s="72" t="s">
        <v>186</v>
      </c>
      <c r="L34" s="162"/>
      <c r="M34" s="167" t="s">
        <v>342</v>
      </c>
      <c r="N34" s="72" t="s">
        <v>163</v>
      </c>
      <c r="O34" s="128" t="s">
        <v>343</v>
      </c>
      <c r="P34" s="128" t="s">
        <v>163</v>
      </c>
      <c r="BA34" s="162"/>
      <c r="BB34" s="104" t="s">
        <v>148</v>
      </c>
      <c r="BC34" s="72" t="s">
        <v>96</v>
      </c>
      <c r="BD34" s="72" t="s">
        <v>254</v>
      </c>
      <c r="BE34" s="72" t="s">
        <v>109</v>
      </c>
      <c r="BF34" s="162"/>
      <c r="BG34" s="83">
        <v>205.88</v>
      </c>
      <c r="BI34" s="162"/>
      <c r="BJ34" s="105">
        <v>1</v>
      </c>
      <c r="BK34" s="121" t="str">
        <f>mehrsprachigkeitBegriffsrückgabe(gewählteSpracheZurückgeben(), "Fixed scale price")</f>
        <v>Feste Preisangabe</v>
      </c>
      <c r="BL34" s="121" t="str">
        <f>mehrsprachigkeitBegriffsrückgabe(gewählteSpracheZurückgeben(), "Separated by products, variants and configurations")</f>
        <v>Produkte, Varianten und Konfigurationen getrennt</v>
      </c>
      <c r="BM34" s="105">
        <v>1</v>
      </c>
      <c r="BO34" s="73" t="s">
        <v>226</v>
      </c>
      <c r="BP34" s="162"/>
      <c r="BQ34" s="83" t="s">
        <v>163</v>
      </c>
      <c r="BS34" s="105"/>
      <c r="BT34" s="162"/>
      <c r="BU34" s="105"/>
      <c r="BV34" s="105"/>
      <c r="BY34" s="105"/>
      <c r="BZ34" s="121"/>
      <c r="CA34" s="121"/>
      <c r="CB34" s="105"/>
      <c r="CG34" s="105"/>
      <c r="CH34" s="162"/>
      <c r="CI34" s="105"/>
      <c r="CJ34" s="105"/>
      <c r="CM34" s="105"/>
      <c r="CN34" s="121"/>
      <c r="CO34" s="121"/>
      <c r="CP34" s="105"/>
      <c r="CU34" s="105"/>
      <c r="CV34" s="162"/>
      <c r="CW34" s="105"/>
      <c r="CX34" s="105"/>
      <c r="DA34" s="105"/>
      <c r="DB34" s="121"/>
      <c r="DC34" s="121"/>
      <c r="DD34" s="105"/>
      <c r="DI34" s="105"/>
      <c r="DJ34" s="162"/>
      <c r="DK34" s="105"/>
      <c r="DL34" s="105"/>
      <c r="DO34" s="105"/>
      <c r="DP34" s="121"/>
      <c r="DQ34" s="121"/>
      <c r="DR34" s="105"/>
      <c r="DW34" s="105"/>
      <c r="DX34" s="162"/>
      <c r="DY34" s="105"/>
      <c r="DZ34" s="105"/>
      <c r="EC34" s="105"/>
      <c r="ED34" s="121"/>
      <c r="EE34" s="121"/>
      <c r="EF34" s="105"/>
      <c r="EK34" s="105"/>
      <c r="EL34" s="162"/>
      <c r="EM34" s="72" t="s">
        <v>169</v>
      </c>
      <c r="EN34" s="74">
        <v>1420</v>
      </c>
      <c r="EP34" s="72" t="s">
        <v>77</v>
      </c>
      <c r="EY34" s="72" t="s">
        <v>164</v>
      </c>
      <c r="EZ34" s="72" t="s">
        <v>349</v>
      </c>
      <c r="FB34" s="78"/>
      <c r="FC34" s="78"/>
      <c r="FD34" s="162"/>
      <c r="FE34" s="78"/>
      <c r="FF34" s="78"/>
      <c r="FG34" s="78"/>
      <c r="FO34" s="162"/>
      <c r="FP34" s="78"/>
      <c r="FQ34" s="78"/>
      <c r="FR34" s="78"/>
    </row>
    <row r="35" spans="1:174" ht="15.95" customHeight="1" x14ac:dyDescent="0.25">
      <c r="E35" s="162"/>
      <c r="F35" s="71" t="str">
        <f>mehrsprachigkeitBegriffsrückgabe(gewählteSpracheZurückgeben(), "Product (foreign language)")</f>
        <v>Produkt (Fremdsprache)</v>
      </c>
      <c r="H35" s="72" t="s">
        <v>185</v>
      </c>
      <c r="I35" s="72" t="s">
        <v>102</v>
      </c>
      <c r="J35" s="72" t="s">
        <v>186</v>
      </c>
      <c r="L35" s="162"/>
      <c r="O35" s="119"/>
      <c r="P35" s="119"/>
      <c r="BA35" s="162"/>
      <c r="BB35" s="104" t="s">
        <v>149</v>
      </c>
      <c r="BC35" s="72" t="s">
        <v>103</v>
      </c>
      <c r="BF35" s="162"/>
      <c r="BG35" s="83" t="s">
        <v>163</v>
      </c>
      <c r="BI35" s="162"/>
      <c r="BJ35" s="105"/>
      <c r="BK35" s="121"/>
      <c r="BL35" s="121"/>
      <c r="BM35" s="105"/>
      <c r="BP35" s="162"/>
      <c r="BQ35" s="83" t="s">
        <v>163</v>
      </c>
      <c r="BS35" s="105"/>
      <c r="BT35" s="162"/>
      <c r="BU35" s="105"/>
      <c r="BV35" s="105"/>
      <c r="BY35" s="105"/>
      <c r="BZ35" s="121"/>
      <c r="CA35" s="121"/>
      <c r="CB35" s="105"/>
      <c r="CG35" s="105"/>
      <c r="CH35" s="162"/>
      <c r="CI35" s="105"/>
      <c r="CJ35" s="105"/>
      <c r="CM35" s="105"/>
      <c r="CN35" s="121"/>
      <c r="CO35" s="121"/>
      <c r="CP35" s="105"/>
      <c r="CU35" s="105"/>
      <c r="CV35" s="162"/>
      <c r="CW35" s="105"/>
      <c r="CX35" s="105"/>
      <c r="DA35" s="105"/>
      <c r="DB35" s="121"/>
      <c r="DC35" s="121"/>
      <c r="DD35" s="105"/>
      <c r="DI35" s="105"/>
      <c r="DJ35" s="162"/>
      <c r="DK35" s="105"/>
      <c r="DL35" s="105"/>
      <c r="DO35" s="105"/>
      <c r="DP35" s="121"/>
      <c r="DQ35" s="121"/>
      <c r="DR35" s="105"/>
      <c r="DW35" s="105"/>
      <c r="DX35" s="162"/>
      <c r="DY35" s="105"/>
      <c r="DZ35" s="105"/>
      <c r="EC35" s="105"/>
      <c r="ED35" s="121"/>
      <c r="EE35" s="121"/>
      <c r="EF35" s="105"/>
      <c r="EK35" s="105"/>
      <c r="EL35" s="162"/>
      <c r="EN35" s="106"/>
      <c r="EO35" s="107"/>
      <c r="EP35" s="72" t="s">
        <v>104</v>
      </c>
      <c r="EW35" s="108"/>
      <c r="EX35" s="108"/>
      <c r="EY35" s="108"/>
      <c r="EZ35" s="108"/>
      <c r="FB35" s="78"/>
      <c r="FC35" s="78"/>
      <c r="FD35" s="162"/>
      <c r="FE35" s="78"/>
      <c r="FF35" s="78"/>
      <c r="FG35" s="78"/>
      <c r="FO35" s="162"/>
      <c r="FP35" s="78"/>
      <c r="FQ35" s="78"/>
      <c r="FR35" s="78"/>
    </row>
    <row r="36" spans="1:174" ht="15.95" customHeight="1" x14ac:dyDescent="0.25">
      <c r="D36" s="70">
        <v>1</v>
      </c>
      <c r="E36" s="162"/>
      <c r="F36" s="71" t="str">
        <f>mehrsprachigkeitBegriffsrückgabe(gewählteSpracheZurückgeben(), "Product")</f>
        <v>Produkt</v>
      </c>
      <c r="G36" s="72" t="s">
        <v>187</v>
      </c>
      <c r="H36" s="72" t="s">
        <v>163</v>
      </c>
      <c r="I36" s="72" t="s">
        <v>87</v>
      </c>
      <c r="J36" s="72" t="s">
        <v>188</v>
      </c>
      <c r="L36" s="162"/>
      <c r="M36" s="167" t="s">
        <v>342</v>
      </c>
      <c r="N36" s="72" t="s">
        <v>163</v>
      </c>
      <c r="O36" s="128" t="s">
        <v>343</v>
      </c>
      <c r="P36" s="128" t="s">
        <v>163</v>
      </c>
      <c r="BA36" s="162"/>
      <c r="BB36" s="104" t="s">
        <v>148</v>
      </c>
      <c r="BC36" s="72" t="s">
        <v>96</v>
      </c>
      <c r="BD36" s="72" t="s">
        <v>254</v>
      </c>
      <c r="BE36" s="72" t="s">
        <v>99</v>
      </c>
      <c r="BF36" s="162"/>
      <c r="BG36" s="83">
        <v>158.82</v>
      </c>
      <c r="BI36" s="162"/>
      <c r="BJ36" s="105">
        <v>1</v>
      </c>
      <c r="BK36" s="121" t="str">
        <f>mehrsprachigkeitBegriffsrückgabe(gewählteSpracheZurückgeben(), "Fixed scale price")</f>
        <v>Feste Preisangabe</v>
      </c>
      <c r="BL36" s="121" t="str">
        <f>mehrsprachigkeitBegriffsrückgabe(gewählteSpracheZurückgeben(), "Separated by products, variants and configurations")</f>
        <v>Produkte, Varianten und Konfigurationen getrennt</v>
      </c>
      <c r="BM36" s="105">
        <v>1</v>
      </c>
      <c r="BO36" s="73" t="s">
        <v>221</v>
      </c>
      <c r="BP36" s="162"/>
      <c r="BQ36" s="83" t="s">
        <v>163</v>
      </c>
      <c r="BS36" s="105"/>
      <c r="BT36" s="162"/>
      <c r="BU36" s="105"/>
      <c r="BV36" s="105"/>
      <c r="BY36" s="105"/>
      <c r="BZ36" s="121"/>
      <c r="CA36" s="121"/>
      <c r="CB36" s="105"/>
      <c r="CG36" s="105"/>
      <c r="CH36" s="162"/>
      <c r="CI36" s="105"/>
      <c r="CJ36" s="105"/>
      <c r="CM36" s="105"/>
      <c r="CN36" s="121"/>
      <c r="CO36" s="121"/>
      <c r="CP36" s="105"/>
      <c r="CU36" s="105"/>
      <c r="CV36" s="162"/>
      <c r="CW36" s="105"/>
      <c r="CX36" s="105"/>
      <c r="DA36" s="105"/>
      <c r="DB36" s="121"/>
      <c r="DC36" s="121"/>
      <c r="DD36" s="105"/>
      <c r="DI36" s="105"/>
      <c r="DJ36" s="162"/>
      <c r="DK36" s="105"/>
      <c r="DL36" s="105"/>
      <c r="DO36" s="105"/>
      <c r="DP36" s="121"/>
      <c r="DQ36" s="121"/>
      <c r="DR36" s="105"/>
      <c r="DW36" s="105"/>
      <c r="DX36" s="162"/>
      <c r="DY36" s="105"/>
      <c r="DZ36" s="105"/>
      <c r="EC36" s="105"/>
      <c r="ED36" s="121"/>
      <c r="EE36" s="121"/>
      <c r="EF36" s="105"/>
      <c r="EK36" s="105"/>
      <c r="EL36" s="162"/>
      <c r="EM36" s="72" t="s">
        <v>169</v>
      </c>
      <c r="EN36" s="74">
        <v>1140</v>
      </c>
      <c r="EP36" s="72" t="s">
        <v>77</v>
      </c>
      <c r="ET36" s="77">
        <v>1</v>
      </c>
      <c r="EV36" s="78" t="s">
        <v>238</v>
      </c>
      <c r="EY36" s="72" t="s">
        <v>189</v>
      </c>
      <c r="EZ36" s="72" t="s">
        <v>349</v>
      </c>
      <c r="FB36" s="78"/>
      <c r="FC36" s="78"/>
      <c r="FD36" s="162"/>
      <c r="FE36" s="78"/>
      <c r="FF36" s="78"/>
      <c r="FG36" s="78"/>
      <c r="FO36" s="162"/>
      <c r="FP36" s="78"/>
      <c r="FQ36" s="78"/>
      <c r="FR36" s="78"/>
    </row>
    <row r="37" spans="1:174" ht="15.95" customHeight="1" x14ac:dyDescent="0.25">
      <c r="E37" s="162"/>
      <c r="F37" s="71" t="str">
        <f>mehrsprachigkeitBegriffsrückgabe(gewählteSpracheZurückgeben(), "Product (foreign language)")</f>
        <v>Produkt (Fremdsprache)</v>
      </c>
      <c r="H37" s="72" t="s">
        <v>187</v>
      </c>
      <c r="I37" s="72" t="s">
        <v>102</v>
      </c>
      <c r="J37" s="72" t="s">
        <v>188</v>
      </c>
      <c r="L37" s="162"/>
      <c r="O37" s="119"/>
      <c r="P37" s="119"/>
      <c r="BA37" s="162"/>
      <c r="BB37" s="104" t="s">
        <v>149</v>
      </c>
      <c r="BC37" s="72" t="s">
        <v>103</v>
      </c>
      <c r="BF37" s="162"/>
      <c r="BG37" s="83" t="s">
        <v>163</v>
      </c>
      <c r="BI37" s="162"/>
      <c r="BJ37" s="105"/>
      <c r="BK37" s="121"/>
      <c r="BL37" s="121"/>
      <c r="BM37" s="105"/>
      <c r="BP37" s="162"/>
      <c r="BQ37" s="83" t="s">
        <v>163</v>
      </c>
      <c r="BS37" s="105"/>
      <c r="BT37" s="162"/>
      <c r="BU37" s="105"/>
      <c r="BV37" s="105"/>
      <c r="BY37" s="105"/>
      <c r="BZ37" s="121"/>
      <c r="CA37" s="121"/>
      <c r="CB37" s="105"/>
      <c r="CG37" s="105"/>
      <c r="CH37" s="162"/>
      <c r="CI37" s="105"/>
      <c r="CJ37" s="105"/>
      <c r="CM37" s="105"/>
      <c r="CN37" s="121"/>
      <c r="CO37" s="121"/>
      <c r="CP37" s="105"/>
      <c r="CU37" s="105"/>
      <c r="CV37" s="162"/>
      <c r="CW37" s="105"/>
      <c r="CX37" s="105"/>
      <c r="DA37" s="105"/>
      <c r="DB37" s="121"/>
      <c r="DC37" s="121"/>
      <c r="DD37" s="105"/>
      <c r="DI37" s="105"/>
      <c r="DJ37" s="162"/>
      <c r="DK37" s="105"/>
      <c r="DL37" s="105"/>
      <c r="DO37" s="105"/>
      <c r="DP37" s="121"/>
      <c r="DQ37" s="121"/>
      <c r="DR37" s="105"/>
      <c r="DW37" s="105"/>
      <c r="DX37" s="162"/>
      <c r="DY37" s="105"/>
      <c r="DZ37" s="105"/>
      <c r="EC37" s="105"/>
      <c r="ED37" s="121"/>
      <c r="EE37" s="121"/>
      <c r="EF37" s="105"/>
      <c r="EK37" s="105"/>
      <c r="EL37" s="162"/>
      <c r="EN37" s="106"/>
      <c r="EO37" s="107"/>
      <c r="EP37" s="72" t="s">
        <v>104</v>
      </c>
      <c r="EV37" s="78" t="s">
        <v>238</v>
      </c>
      <c r="EW37" s="108"/>
      <c r="EX37" s="108"/>
      <c r="EY37" s="108"/>
      <c r="EZ37" s="108"/>
      <c r="FB37" s="78"/>
      <c r="FC37" s="78"/>
      <c r="FD37" s="162"/>
      <c r="FE37" s="78"/>
      <c r="FF37" s="78"/>
      <c r="FG37" s="78"/>
      <c r="FO37" s="162"/>
      <c r="FP37" s="78"/>
      <c r="FQ37" s="78"/>
      <c r="FR37" s="78"/>
    </row>
    <row r="38" spans="1:174" ht="15.95" customHeight="1" x14ac:dyDescent="0.25">
      <c r="D38" s="70">
        <v>1</v>
      </c>
      <c r="E38" s="162"/>
      <c r="F38" s="71" t="str">
        <f>mehrsprachigkeitBegriffsrückgabe(gewählteSpracheZurückgeben(), "Product")</f>
        <v>Produkt</v>
      </c>
      <c r="G38" s="72" t="s">
        <v>190</v>
      </c>
      <c r="H38" s="72" t="s">
        <v>163</v>
      </c>
      <c r="I38" s="72" t="s">
        <v>87</v>
      </c>
      <c r="J38" s="72" t="s">
        <v>191</v>
      </c>
      <c r="L38" s="162"/>
      <c r="M38" s="167" t="s">
        <v>342</v>
      </c>
      <c r="N38" s="72" t="s">
        <v>163</v>
      </c>
      <c r="O38" s="128" t="s">
        <v>343</v>
      </c>
      <c r="P38" s="128" t="s">
        <v>163</v>
      </c>
      <c r="BA38" s="162"/>
      <c r="BB38" s="104" t="s">
        <v>148</v>
      </c>
      <c r="BC38" s="72" t="s">
        <v>96</v>
      </c>
      <c r="BD38" s="72" t="s">
        <v>253</v>
      </c>
      <c r="BE38" s="72" t="s">
        <v>134</v>
      </c>
      <c r="BF38" s="162"/>
      <c r="BG38" s="83">
        <v>66.39</v>
      </c>
      <c r="BI38" s="162"/>
      <c r="BJ38" s="105">
        <v>1</v>
      </c>
      <c r="BK38" s="121" t="str">
        <f>mehrsprachigkeitBegriffsrückgabe(gewählteSpracheZurückgeben(), "Fixed scale price")</f>
        <v>Feste Preisangabe</v>
      </c>
      <c r="BL38" s="121" t="str">
        <f>mehrsprachigkeitBegriffsrückgabe(gewählteSpracheZurückgeben(), "Separated by products, variants and configurations")</f>
        <v>Produkte, Varianten und Konfigurationen getrennt</v>
      </c>
      <c r="BM38" s="105">
        <v>1</v>
      </c>
      <c r="BO38" s="73" t="s">
        <v>230</v>
      </c>
      <c r="BP38" s="162"/>
      <c r="BQ38" s="83" t="s">
        <v>163</v>
      </c>
      <c r="BS38" s="105"/>
      <c r="BT38" s="162"/>
      <c r="BU38" s="105"/>
      <c r="BV38" s="105"/>
      <c r="BY38" s="105"/>
      <c r="BZ38" s="121"/>
      <c r="CA38" s="121"/>
      <c r="CB38" s="105"/>
      <c r="CG38" s="105"/>
      <c r="CH38" s="162"/>
      <c r="CI38" s="105"/>
      <c r="CJ38" s="105"/>
      <c r="CM38" s="105"/>
      <c r="CN38" s="121"/>
      <c r="CO38" s="121"/>
      <c r="CP38" s="105"/>
      <c r="CU38" s="105"/>
      <c r="CV38" s="162"/>
      <c r="CW38" s="105"/>
      <c r="CX38" s="105"/>
      <c r="DA38" s="105"/>
      <c r="DB38" s="121"/>
      <c r="DC38" s="121"/>
      <c r="DD38" s="105"/>
      <c r="DI38" s="105"/>
      <c r="DJ38" s="162"/>
      <c r="DK38" s="105"/>
      <c r="DL38" s="105"/>
      <c r="DO38" s="105"/>
      <c r="DP38" s="121"/>
      <c r="DQ38" s="121"/>
      <c r="DR38" s="105"/>
      <c r="DW38" s="105"/>
      <c r="DX38" s="162"/>
      <c r="DY38" s="105"/>
      <c r="DZ38" s="105"/>
      <c r="EC38" s="105"/>
      <c r="ED38" s="121"/>
      <c r="EE38" s="121"/>
      <c r="EF38" s="105"/>
      <c r="EK38" s="105"/>
      <c r="EL38" s="162"/>
      <c r="EM38" s="72" t="s">
        <v>169</v>
      </c>
      <c r="EN38" s="74">
        <v>1210</v>
      </c>
      <c r="EP38" s="72" t="s">
        <v>77</v>
      </c>
      <c r="EY38" s="72" t="s">
        <v>192</v>
      </c>
      <c r="EZ38" s="72" t="s">
        <v>349</v>
      </c>
      <c r="FB38" s="78"/>
      <c r="FC38" s="78"/>
      <c r="FD38" s="162"/>
      <c r="FE38" s="78"/>
      <c r="FF38" s="78"/>
      <c r="FG38" s="78"/>
      <c r="FO38" s="162"/>
      <c r="FP38" s="78"/>
      <c r="FQ38" s="78"/>
      <c r="FR38" s="78"/>
    </row>
    <row r="39" spans="1:174" ht="15.95" customHeight="1" x14ac:dyDescent="0.25">
      <c r="E39" s="162"/>
      <c r="F39" s="71" t="str">
        <f>mehrsprachigkeitBegriffsrückgabe(gewählteSpracheZurückgeben(), "Product (foreign language)")</f>
        <v>Produkt (Fremdsprache)</v>
      </c>
      <c r="H39" s="72" t="s">
        <v>190</v>
      </c>
      <c r="I39" s="72" t="s">
        <v>102</v>
      </c>
      <c r="J39" s="72" t="s">
        <v>191</v>
      </c>
      <c r="L39" s="162"/>
      <c r="O39" s="119"/>
      <c r="P39" s="119"/>
      <c r="BA39" s="162"/>
      <c r="BB39" s="104" t="s">
        <v>149</v>
      </c>
      <c r="BC39" s="72" t="s">
        <v>103</v>
      </c>
      <c r="BF39" s="162"/>
      <c r="BG39" s="83" t="s">
        <v>163</v>
      </c>
      <c r="BI39" s="162"/>
      <c r="BJ39" s="105"/>
      <c r="BK39" s="121"/>
      <c r="BL39" s="121"/>
      <c r="BM39" s="105"/>
      <c r="BP39" s="162"/>
      <c r="BQ39" s="83" t="s">
        <v>163</v>
      </c>
      <c r="BS39" s="105"/>
      <c r="BT39" s="162"/>
      <c r="BU39" s="105"/>
      <c r="BV39" s="105"/>
      <c r="BY39" s="105"/>
      <c r="BZ39" s="121"/>
      <c r="CA39" s="121"/>
      <c r="CB39" s="105"/>
      <c r="CG39" s="105"/>
      <c r="CH39" s="162"/>
      <c r="CI39" s="105"/>
      <c r="CJ39" s="105"/>
      <c r="CM39" s="105"/>
      <c r="CN39" s="121"/>
      <c r="CO39" s="121"/>
      <c r="CP39" s="105"/>
      <c r="CU39" s="105"/>
      <c r="CV39" s="162"/>
      <c r="CW39" s="105"/>
      <c r="CX39" s="105"/>
      <c r="DA39" s="105"/>
      <c r="DB39" s="121"/>
      <c r="DC39" s="121"/>
      <c r="DD39" s="105"/>
      <c r="DI39" s="105"/>
      <c r="DJ39" s="162"/>
      <c r="DK39" s="105"/>
      <c r="DL39" s="105"/>
      <c r="DO39" s="105"/>
      <c r="DP39" s="121"/>
      <c r="DQ39" s="121"/>
      <c r="DR39" s="105"/>
      <c r="DW39" s="105"/>
      <c r="DX39" s="162"/>
      <c r="DY39" s="105"/>
      <c r="DZ39" s="105"/>
      <c r="EC39" s="105"/>
      <c r="ED39" s="121"/>
      <c r="EE39" s="121"/>
      <c r="EF39" s="105"/>
      <c r="EK39" s="105"/>
      <c r="EL39" s="162"/>
      <c r="EN39" s="106"/>
      <c r="EO39" s="107"/>
      <c r="EP39" s="72" t="s">
        <v>104</v>
      </c>
      <c r="EW39" s="108"/>
      <c r="EX39" s="108"/>
      <c r="EY39" s="108"/>
      <c r="EZ39" s="108"/>
      <c r="FB39" s="78"/>
      <c r="FC39" s="78"/>
      <c r="FD39" s="162"/>
      <c r="FE39" s="78"/>
      <c r="FF39" s="78"/>
      <c r="FG39" s="78"/>
      <c r="FO39" s="162"/>
      <c r="FP39" s="78"/>
      <c r="FQ39" s="78"/>
      <c r="FR39" s="78"/>
    </row>
    <row r="40" spans="1:174" ht="15.95" customHeight="1" x14ac:dyDescent="0.25">
      <c r="D40" s="70">
        <v>1</v>
      </c>
      <c r="E40" s="162"/>
      <c r="F40" s="71" t="str">
        <f>mehrsprachigkeitBegriffsrückgabe(gewählteSpracheZurückgeben(), "Product")</f>
        <v>Produkt</v>
      </c>
      <c r="G40" s="72" t="s">
        <v>194</v>
      </c>
      <c r="H40" s="72" t="s">
        <v>163</v>
      </c>
      <c r="I40" s="72" t="s">
        <v>87</v>
      </c>
      <c r="J40" s="72" t="s">
        <v>193</v>
      </c>
      <c r="L40" s="162"/>
      <c r="M40" s="167" t="s">
        <v>342</v>
      </c>
      <c r="N40" s="72" t="s">
        <v>163</v>
      </c>
      <c r="O40" s="128" t="s">
        <v>343</v>
      </c>
      <c r="P40" s="128" t="s">
        <v>163</v>
      </c>
      <c r="BA40" s="162"/>
      <c r="BB40" s="104" t="s">
        <v>148</v>
      </c>
      <c r="BC40" s="72" t="s">
        <v>96</v>
      </c>
      <c r="BD40" s="72" t="s">
        <v>253</v>
      </c>
      <c r="BE40" s="72" t="s">
        <v>134</v>
      </c>
      <c r="BF40" s="162"/>
      <c r="BG40" s="83">
        <v>91.6</v>
      </c>
      <c r="BI40" s="162"/>
      <c r="BJ40" s="105">
        <v>1</v>
      </c>
      <c r="BK40" s="121" t="str">
        <f>mehrsprachigkeitBegriffsrückgabe(gewählteSpracheZurückgeben(), "Fixed scale price")</f>
        <v>Feste Preisangabe</v>
      </c>
      <c r="BL40" s="121" t="str">
        <f>mehrsprachigkeitBegriffsrückgabe(gewählteSpracheZurückgeben(), "Separated by products, variants and configurations")</f>
        <v>Produkte, Varianten und Konfigurationen getrennt</v>
      </c>
      <c r="BM40" s="105">
        <v>1</v>
      </c>
      <c r="BO40" s="73" t="s">
        <v>232</v>
      </c>
      <c r="BP40" s="162"/>
      <c r="BQ40" s="83">
        <v>116.81</v>
      </c>
      <c r="BS40" s="105">
        <v>1</v>
      </c>
      <c r="BT40" s="162"/>
      <c r="BU40" s="105"/>
      <c r="BV40" s="105"/>
      <c r="BY40" s="105"/>
      <c r="BZ40" s="121"/>
      <c r="CA40" s="121"/>
      <c r="CB40" s="105"/>
      <c r="CG40" s="105"/>
      <c r="CH40" s="162"/>
      <c r="CI40" s="105"/>
      <c r="CJ40" s="105"/>
      <c r="CM40" s="105"/>
      <c r="CN40" s="121"/>
      <c r="CO40" s="121"/>
      <c r="CP40" s="105"/>
      <c r="CU40" s="105"/>
      <c r="CV40" s="162"/>
      <c r="CW40" s="105"/>
      <c r="CX40" s="105"/>
      <c r="DA40" s="105"/>
      <c r="DB40" s="121"/>
      <c r="DC40" s="121"/>
      <c r="DD40" s="105"/>
      <c r="DI40" s="105"/>
      <c r="DJ40" s="162"/>
      <c r="DK40" s="105"/>
      <c r="DL40" s="105"/>
      <c r="DO40" s="105"/>
      <c r="DP40" s="121"/>
      <c r="DQ40" s="121"/>
      <c r="DR40" s="105"/>
      <c r="DW40" s="105"/>
      <c r="DX40" s="162"/>
      <c r="DY40" s="105"/>
      <c r="DZ40" s="105"/>
      <c r="EC40" s="105"/>
      <c r="ED40" s="121"/>
      <c r="EE40" s="121"/>
      <c r="EF40" s="105"/>
      <c r="EK40" s="105"/>
      <c r="EL40" s="162"/>
      <c r="EM40" s="72" t="s">
        <v>169</v>
      </c>
      <c r="EN40" s="74">
        <v>1370</v>
      </c>
      <c r="EP40" s="72" t="s">
        <v>77</v>
      </c>
      <c r="EU40" s="77">
        <v>1</v>
      </c>
      <c r="EY40" s="72" t="s">
        <v>195</v>
      </c>
      <c r="EZ40" s="72" t="s">
        <v>349</v>
      </c>
      <c r="FB40" s="78"/>
      <c r="FC40" s="78"/>
      <c r="FD40" s="162"/>
      <c r="FE40" s="78"/>
      <c r="FF40" s="78"/>
      <c r="FG40" s="78"/>
      <c r="FO40" s="162"/>
      <c r="FP40" s="78"/>
      <c r="FQ40" s="78"/>
      <c r="FR40" s="78"/>
    </row>
    <row r="41" spans="1:174" ht="15.95" customHeight="1" x14ac:dyDescent="0.25">
      <c r="E41" s="162"/>
      <c r="F41" s="71" t="str">
        <f>mehrsprachigkeitBegriffsrückgabe(gewählteSpracheZurückgeben(), "Product (foreign language)")</f>
        <v>Produkt (Fremdsprache)</v>
      </c>
      <c r="H41" s="72" t="s">
        <v>194</v>
      </c>
      <c r="I41" s="72" t="s">
        <v>102</v>
      </c>
      <c r="J41" s="72" t="s">
        <v>193</v>
      </c>
      <c r="L41" s="162"/>
      <c r="O41" s="119"/>
      <c r="P41" s="119"/>
      <c r="BA41" s="162"/>
      <c r="BB41" s="104" t="s">
        <v>149</v>
      </c>
      <c r="BC41" s="72" t="s">
        <v>103</v>
      </c>
      <c r="BF41" s="162"/>
      <c r="BG41" s="83" t="s">
        <v>163</v>
      </c>
      <c r="BI41" s="162"/>
      <c r="BJ41" s="105"/>
      <c r="BK41" s="121"/>
      <c r="BL41" s="121"/>
      <c r="BM41" s="105"/>
      <c r="BP41" s="162"/>
      <c r="BQ41" s="83" t="s">
        <v>163</v>
      </c>
      <c r="BS41" s="105"/>
      <c r="BT41" s="162"/>
      <c r="BU41" s="105"/>
      <c r="BV41" s="105"/>
      <c r="BY41" s="105"/>
      <c r="BZ41" s="121"/>
      <c r="CA41" s="121"/>
      <c r="CB41" s="105"/>
      <c r="CG41" s="105"/>
      <c r="CH41" s="162"/>
      <c r="CI41" s="105"/>
      <c r="CJ41" s="105"/>
      <c r="CM41" s="105"/>
      <c r="CN41" s="121"/>
      <c r="CO41" s="121"/>
      <c r="CP41" s="105"/>
      <c r="CU41" s="105"/>
      <c r="CV41" s="162"/>
      <c r="CW41" s="105"/>
      <c r="CX41" s="105"/>
      <c r="DA41" s="105"/>
      <c r="DB41" s="121"/>
      <c r="DC41" s="121"/>
      <c r="DD41" s="105"/>
      <c r="DI41" s="105"/>
      <c r="DJ41" s="162"/>
      <c r="DK41" s="105"/>
      <c r="DL41" s="105"/>
      <c r="DO41" s="105"/>
      <c r="DP41" s="121"/>
      <c r="DQ41" s="121"/>
      <c r="DR41" s="105"/>
      <c r="DW41" s="105"/>
      <c r="DX41" s="162"/>
      <c r="DY41" s="105"/>
      <c r="DZ41" s="105"/>
      <c r="EC41" s="105"/>
      <c r="ED41" s="121"/>
      <c r="EE41" s="121"/>
      <c r="EF41" s="105"/>
      <c r="EK41" s="105"/>
      <c r="EL41" s="162"/>
      <c r="EN41" s="106"/>
      <c r="EO41" s="107"/>
      <c r="EP41" s="72" t="s">
        <v>104</v>
      </c>
      <c r="EW41" s="108"/>
      <c r="EX41" s="108"/>
      <c r="EY41" s="108"/>
      <c r="EZ41" s="108"/>
      <c r="FB41" s="78"/>
      <c r="FC41" s="78"/>
      <c r="FD41" s="162"/>
      <c r="FE41" s="78"/>
      <c r="FF41" s="78"/>
      <c r="FG41" s="78"/>
      <c r="FO41" s="162"/>
      <c r="FP41" s="78"/>
      <c r="FQ41" s="78"/>
      <c r="FR41" s="78"/>
    </row>
    <row r="42" spans="1:174" ht="15.95" customHeight="1" x14ac:dyDescent="0.25">
      <c r="D42" s="70">
        <v>1</v>
      </c>
      <c r="E42" s="162"/>
      <c r="F42" s="71" t="str">
        <f>mehrsprachigkeitBegriffsrückgabe(gewählteSpracheZurückgeben(), "Product")</f>
        <v>Produkt</v>
      </c>
      <c r="G42" s="72" t="s">
        <v>198</v>
      </c>
      <c r="H42" s="72" t="s">
        <v>163</v>
      </c>
      <c r="I42" s="72" t="s">
        <v>87</v>
      </c>
      <c r="J42" s="72" t="s">
        <v>196</v>
      </c>
      <c r="L42" s="162"/>
      <c r="M42" s="167" t="s">
        <v>342</v>
      </c>
      <c r="N42" s="72" t="s">
        <v>163</v>
      </c>
      <c r="O42" s="128" t="s">
        <v>343</v>
      </c>
      <c r="P42" s="128" t="s">
        <v>163</v>
      </c>
      <c r="BA42" s="162"/>
      <c r="BB42" s="104" t="s">
        <v>148</v>
      </c>
      <c r="BC42" s="72" t="s">
        <v>96</v>
      </c>
      <c r="BD42" s="72" t="s">
        <v>254</v>
      </c>
      <c r="BE42" s="72" t="s">
        <v>125</v>
      </c>
      <c r="BF42" s="162"/>
      <c r="BG42" s="83">
        <v>167.23</v>
      </c>
      <c r="BI42" s="162"/>
      <c r="BJ42" s="105">
        <v>1</v>
      </c>
      <c r="BK42" s="121" t="str">
        <f>mehrsprachigkeitBegriffsrückgabe(gewählteSpracheZurückgeben(), "Fixed scale price")</f>
        <v>Feste Preisangabe</v>
      </c>
      <c r="BL42" s="121" t="str">
        <f>mehrsprachigkeitBegriffsrückgabe(gewählteSpracheZurückgeben(), "Separated by products, variants and configurations")</f>
        <v>Produkte, Varianten und Konfigurationen getrennt</v>
      </c>
      <c r="BM42" s="105">
        <v>1</v>
      </c>
      <c r="BO42" s="73" t="s">
        <v>228</v>
      </c>
      <c r="BP42" s="162"/>
      <c r="BQ42" s="83" t="s">
        <v>163</v>
      </c>
      <c r="BS42" s="105"/>
      <c r="BT42" s="162"/>
      <c r="BU42" s="105"/>
      <c r="BV42" s="105"/>
      <c r="BY42" s="105"/>
      <c r="BZ42" s="121"/>
      <c r="CA42" s="121"/>
      <c r="CB42" s="105"/>
      <c r="CG42" s="105"/>
      <c r="CH42" s="162"/>
      <c r="CI42" s="105"/>
      <c r="CJ42" s="105"/>
      <c r="CM42" s="105"/>
      <c r="CN42" s="121"/>
      <c r="CO42" s="121"/>
      <c r="CP42" s="105"/>
      <c r="CU42" s="105"/>
      <c r="CV42" s="162"/>
      <c r="CW42" s="105"/>
      <c r="CX42" s="105"/>
      <c r="DA42" s="105"/>
      <c r="DB42" s="121"/>
      <c r="DC42" s="121"/>
      <c r="DD42" s="105"/>
      <c r="DI42" s="105"/>
      <c r="DJ42" s="162"/>
      <c r="DK42" s="105"/>
      <c r="DL42" s="105"/>
      <c r="DO42" s="105"/>
      <c r="DP42" s="121"/>
      <c r="DQ42" s="121"/>
      <c r="DR42" s="105"/>
      <c r="DW42" s="105"/>
      <c r="DX42" s="162"/>
      <c r="DY42" s="105"/>
      <c r="DZ42" s="105"/>
      <c r="EC42" s="105"/>
      <c r="ED42" s="121"/>
      <c r="EE42" s="121"/>
      <c r="EF42" s="105"/>
      <c r="EK42" s="105"/>
      <c r="EL42" s="162"/>
      <c r="EM42" s="72" t="s">
        <v>169</v>
      </c>
      <c r="EN42" s="74">
        <v>1330</v>
      </c>
      <c r="EP42" s="72" t="s">
        <v>77</v>
      </c>
      <c r="EV42" s="78" t="s">
        <v>238</v>
      </c>
      <c r="EY42" s="72" t="s">
        <v>197</v>
      </c>
      <c r="EZ42" s="72" t="s">
        <v>349</v>
      </c>
      <c r="FB42" s="78"/>
      <c r="FC42" s="78"/>
      <c r="FD42" s="162"/>
      <c r="FE42" s="78"/>
      <c r="FF42" s="78"/>
      <c r="FG42" s="78"/>
      <c r="FO42" s="162"/>
      <c r="FP42" s="78"/>
      <c r="FQ42" s="78"/>
      <c r="FR42" s="78"/>
    </row>
    <row r="43" spans="1:174" ht="15.95" customHeight="1" x14ac:dyDescent="0.25">
      <c r="E43" s="162"/>
      <c r="F43" s="71" t="str">
        <f>mehrsprachigkeitBegriffsrückgabe(gewählteSpracheZurückgeben(), "Product (foreign language)")</f>
        <v>Produkt (Fremdsprache)</v>
      </c>
      <c r="H43" s="72" t="s">
        <v>198</v>
      </c>
      <c r="I43" s="72" t="s">
        <v>102</v>
      </c>
      <c r="J43" s="72" t="s">
        <v>196</v>
      </c>
      <c r="L43" s="162"/>
      <c r="O43" s="119"/>
      <c r="P43" s="119"/>
      <c r="BA43" s="162"/>
      <c r="BB43" s="104" t="s">
        <v>149</v>
      </c>
      <c r="BC43" s="72" t="s">
        <v>103</v>
      </c>
      <c r="BF43" s="162"/>
      <c r="BG43" s="83" t="s">
        <v>163</v>
      </c>
      <c r="BI43" s="162"/>
      <c r="BJ43" s="105"/>
      <c r="BK43" s="121"/>
      <c r="BL43" s="121"/>
      <c r="BM43" s="105"/>
      <c r="BP43" s="162"/>
      <c r="BQ43" s="83" t="s">
        <v>163</v>
      </c>
      <c r="BS43" s="105"/>
      <c r="BT43" s="162"/>
      <c r="BU43" s="105"/>
      <c r="BV43" s="105"/>
      <c r="BY43" s="105"/>
      <c r="BZ43" s="121"/>
      <c r="CA43" s="121"/>
      <c r="CB43" s="105"/>
      <c r="CG43" s="105"/>
      <c r="CH43" s="162"/>
      <c r="CI43" s="105"/>
      <c r="CJ43" s="105"/>
      <c r="CM43" s="105"/>
      <c r="CN43" s="121"/>
      <c r="CO43" s="121"/>
      <c r="CP43" s="105"/>
      <c r="CU43" s="105"/>
      <c r="CV43" s="162"/>
      <c r="CW43" s="105"/>
      <c r="CX43" s="105"/>
      <c r="DA43" s="105"/>
      <c r="DB43" s="121"/>
      <c r="DC43" s="121"/>
      <c r="DD43" s="105"/>
      <c r="DI43" s="105"/>
      <c r="DJ43" s="162"/>
      <c r="DK43" s="105"/>
      <c r="DL43" s="105"/>
      <c r="DO43" s="105"/>
      <c r="DP43" s="121"/>
      <c r="DQ43" s="121"/>
      <c r="DR43" s="105"/>
      <c r="DW43" s="105"/>
      <c r="DX43" s="162"/>
      <c r="DY43" s="105"/>
      <c r="DZ43" s="105"/>
      <c r="EC43" s="105"/>
      <c r="ED43" s="121"/>
      <c r="EE43" s="121"/>
      <c r="EF43" s="105"/>
      <c r="EK43" s="105"/>
      <c r="EL43" s="162"/>
      <c r="EN43" s="106"/>
      <c r="EO43" s="107"/>
      <c r="EP43" s="72" t="s">
        <v>104</v>
      </c>
      <c r="EV43" s="78" t="s">
        <v>238</v>
      </c>
      <c r="EW43" s="108"/>
      <c r="EX43" s="108"/>
      <c r="EY43" s="108"/>
      <c r="EZ43" s="108"/>
      <c r="FB43" s="78"/>
      <c r="FC43" s="78"/>
      <c r="FD43" s="162"/>
      <c r="FE43" s="78"/>
      <c r="FF43" s="78"/>
      <c r="FG43" s="78"/>
      <c r="FO43" s="162"/>
      <c r="FP43" s="78"/>
      <c r="FQ43" s="78"/>
      <c r="FR43" s="78"/>
    </row>
    <row r="44" spans="1:174" ht="15.95" customHeight="1" x14ac:dyDescent="0.25">
      <c r="D44" s="70">
        <v>1</v>
      </c>
      <c r="E44" s="162"/>
      <c r="F44" s="71" t="str">
        <f>mehrsprachigkeitBegriffsrückgabe(gewählteSpracheZurückgeben(), "Product")</f>
        <v>Produkt</v>
      </c>
      <c r="G44" s="72" t="s">
        <v>199</v>
      </c>
      <c r="H44" s="72" t="s">
        <v>163</v>
      </c>
      <c r="I44" s="72" t="s">
        <v>87</v>
      </c>
      <c r="J44" s="72" t="s">
        <v>200</v>
      </c>
      <c r="L44" s="162"/>
      <c r="M44" s="167" t="s">
        <v>342</v>
      </c>
      <c r="N44" s="72" t="s">
        <v>163</v>
      </c>
      <c r="O44" s="128" t="s">
        <v>343</v>
      </c>
      <c r="P44" s="128" t="s">
        <v>163</v>
      </c>
      <c r="BA44" s="162"/>
      <c r="BB44" s="104" t="s">
        <v>148</v>
      </c>
      <c r="BC44" s="72" t="s">
        <v>96</v>
      </c>
      <c r="BD44" s="72" t="s">
        <v>253</v>
      </c>
      <c r="BE44" s="72" t="s">
        <v>125</v>
      </c>
      <c r="BF44" s="162"/>
      <c r="BG44" s="83">
        <v>184.03</v>
      </c>
      <c r="BI44" s="162"/>
      <c r="BJ44" s="105">
        <v>1</v>
      </c>
      <c r="BK44" s="121" t="str">
        <f>mehrsprachigkeitBegriffsrückgabe(gewählteSpracheZurückgeben(), "Fixed scale price")</f>
        <v>Feste Preisangabe</v>
      </c>
      <c r="BL44" s="121" t="str">
        <f>mehrsprachigkeitBegriffsrückgabe(gewählteSpracheZurückgeben(), "Separated by products, variants and configurations")</f>
        <v>Produkte, Varianten und Konfigurationen getrennt</v>
      </c>
      <c r="BM44" s="105">
        <v>1</v>
      </c>
      <c r="BO44" s="73" t="s">
        <v>227</v>
      </c>
      <c r="BP44" s="162"/>
      <c r="BQ44" s="83" t="s">
        <v>163</v>
      </c>
      <c r="BS44" s="105"/>
      <c r="BT44" s="162"/>
      <c r="BU44" s="105"/>
      <c r="BV44" s="105"/>
      <c r="BY44" s="105"/>
      <c r="BZ44" s="121"/>
      <c r="CA44" s="121"/>
      <c r="CB44" s="105"/>
      <c r="CG44" s="105"/>
      <c r="CH44" s="162"/>
      <c r="CI44" s="105"/>
      <c r="CJ44" s="105"/>
      <c r="CM44" s="105"/>
      <c r="CN44" s="121"/>
      <c r="CO44" s="121"/>
      <c r="CP44" s="105"/>
      <c r="CU44" s="105"/>
      <c r="CV44" s="162"/>
      <c r="CW44" s="105"/>
      <c r="CX44" s="105"/>
      <c r="DA44" s="105"/>
      <c r="DB44" s="121"/>
      <c r="DC44" s="121"/>
      <c r="DD44" s="105"/>
      <c r="DI44" s="105"/>
      <c r="DJ44" s="162"/>
      <c r="DK44" s="105"/>
      <c r="DL44" s="105"/>
      <c r="DO44" s="105"/>
      <c r="DP44" s="121"/>
      <c r="DQ44" s="121"/>
      <c r="DR44" s="105"/>
      <c r="DW44" s="105"/>
      <c r="DX44" s="162"/>
      <c r="DY44" s="105"/>
      <c r="DZ44" s="105"/>
      <c r="EC44" s="105"/>
      <c r="ED44" s="121"/>
      <c r="EE44" s="121"/>
      <c r="EF44" s="105"/>
      <c r="EK44" s="105"/>
      <c r="EL44" s="162"/>
      <c r="EM44" s="72" t="s">
        <v>169</v>
      </c>
      <c r="EN44" s="74">
        <v>1550</v>
      </c>
      <c r="EP44" s="72" t="s">
        <v>77</v>
      </c>
      <c r="EY44" s="72" t="s">
        <v>201</v>
      </c>
      <c r="EZ44" s="72" t="s">
        <v>349</v>
      </c>
      <c r="FB44" s="78"/>
      <c r="FC44" s="78"/>
      <c r="FD44" s="162"/>
      <c r="FE44" s="78"/>
      <c r="FF44" s="78"/>
      <c r="FG44" s="78"/>
      <c r="FO44" s="162"/>
      <c r="FP44" s="78"/>
      <c r="FQ44" s="78"/>
      <c r="FR44" s="78"/>
    </row>
    <row r="45" spans="1:174" ht="15.95" customHeight="1" x14ac:dyDescent="0.25">
      <c r="E45" s="162"/>
      <c r="F45" s="71" t="str">
        <f>mehrsprachigkeitBegriffsrückgabe(gewählteSpracheZurückgeben(), "Product (foreign language)")</f>
        <v>Produkt (Fremdsprache)</v>
      </c>
      <c r="H45" s="72" t="s">
        <v>199</v>
      </c>
      <c r="I45" s="72" t="s">
        <v>102</v>
      </c>
      <c r="J45" s="72" t="s">
        <v>200</v>
      </c>
      <c r="L45" s="162"/>
      <c r="O45" s="119"/>
      <c r="P45" s="119"/>
      <c r="BA45" s="162"/>
      <c r="BB45" s="104" t="s">
        <v>149</v>
      </c>
      <c r="BC45" s="72" t="s">
        <v>103</v>
      </c>
      <c r="BF45" s="162"/>
      <c r="BG45" s="83" t="s">
        <v>163</v>
      </c>
      <c r="BI45" s="162"/>
      <c r="BJ45" s="105"/>
      <c r="BK45" s="121"/>
      <c r="BL45" s="121"/>
      <c r="BM45" s="105"/>
      <c r="BP45" s="162"/>
      <c r="BQ45" s="83" t="s">
        <v>163</v>
      </c>
      <c r="BS45" s="105"/>
      <c r="BT45" s="162"/>
      <c r="BU45" s="105"/>
      <c r="BV45" s="105"/>
      <c r="BY45" s="105"/>
      <c r="BZ45" s="121"/>
      <c r="CA45" s="121"/>
      <c r="CB45" s="105"/>
      <c r="CG45" s="105"/>
      <c r="CH45" s="162"/>
      <c r="CI45" s="105"/>
      <c r="CJ45" s="105"/>
      <c r="CM45" s="105"/>
      <c r="CN45" s="121"/>
      <c r="CO45" s="121"/>
      <c r="CP45" s="105"/>
      <c r="CU45" s="105"/>
      <c r="CV45" s="162"/>
      <c r="CW45" s="105"/>
      <c r="CX45" s="105"/>
      <c r="DA45" s="105"/>
      <c r="DB45" s="121"/>
      <c r="DC45" s="121"/>
      <c r="DD45" s="105"/>
      <c r="DI45" s="105"/>
      <c r="DJ45" s="162"/>
      <c r="DK45" s="105"/>
      <c r="DL45" s="105"/>
      <c r="DO45" s="105"/>
      <c r="DP45" s="121"/>
      <c r="DQ45" s="121"/>
      <c r="DR45" s="105"/>
      <c r="DW45" s="105"/>
      <c r="DX45" s="162"/>
      <c r="DY45" s="105"/>
      <c r="DZ45" s="105"/>
      <c r="EC45" s="105"/>
      <c r="ED45" s="121"/>
      <c r="EE45" s="121"/>
      <c r="EF45" s="105"/>
      <c r="EK45" s="105"/>
      <c r="EL45" s="162"/>
      <c r="EN45" s="106"/>
      <c r="EO45" s="107"/>
      <c r="EP45" s="72" t="s">
        <v>104</v>
      </c>
      <c r="EW45" s="108"/>
      <c r="EX45" s="108"/>
      <c r="EY45" s="108"/>
      <c r="EZ45" s="108"/>
      <c r="FB45" s="78"/>
      <c r="FC45" s="78"/>
      <c r="FD45" s="162"/>
      <c r="FE45" s="78"/>
      <c r="FF45" s="78"/>
      <c r="FG45" s="78"/>
      <c r="FO45" s="162"/>
      <c r="FP45" s="78"/>
      <c r="FQ45" s="78"/>
      <c r="FR45" s="78"/>
    </row>
    <row r="46" spans="1:174" ht="15.95" customHeight="1" x14ac:dyDescent="0.25">
      <c r="A46" s="109"/>
      <c r="C46" s="110"/>
      <c r="D46" s="110">
        <v>1</v>
      </c>
      <c r="E46" s="163"/>
      <c r="F46" s="109" t="str">
        <f>mehrsprachigkeitBegriffsrückgabe(gewählteSpracheZurückgeben(), "Product")</f>
        <v>Produkt</v>
      </c>
      <c r="G46" s="108" t="s">
        <v>123</v>
      </c>
      <c r="H46" s="108" t="s">
        <v>163</v>
      </c>
      <c r="I46" s="108" t="s">
        <v>87</v>
      </c>
      <c r="J46" s="108" t="s">
        <v>124</v>
      </c>
      <c r="K46" s="108"/>
      <c r="L46" s="163"/>
      <c r="M46" s="168" t="s">
        <v>342</v>
      </c>
      <c r="N46" s="108" t="s">
        <v>163</v>
      </c>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c r="AT46" s="108"/>
      <c r="AU46" s="108"/>
      <c r="AV46" s="108"/>
      <c r="AW46" s="108"/>
      <c r="AX46" s="108"/>
      <c r="AY46" s="108"/>
      <c r="AZ46" s="108"/>
      <c r="BA46" s="163"/>
      <c r="BB46" s="104" t="s">
        <v>148</v>
      </c>
      <c r="BC46" s="72" t="s">
        <v>96</v>
      </c>
      <c r="BD46" s="72" t="s">
        <v>250</v>
      </c>
      <c r="BE46" s="72" t="s">
        <v>125</v>
      </c>
      <c r="BF46" s="163"/>
      <c r="BG46" s="111">
        <v>167.23</v>
      </c>
      <c r="BH46" s="107"/>
      <c r="BI46" s="163"/>
      <c r="BJ46" s="112"/>
      <c r="BK46" s="107"/>
      <c r="BL46" s="107"/>
      <c r="BM46" s="112"/>
      <c r="BN46" s="107"/>
      <c r="BO46" s="107"/>
      <c r="BP46" s="163"/>
      <c r="BQ46" s="111" t="s">
        <v>163</v>
      </c>
      <c r="BR46" s="107"/>
      <c r="BS46" s="112"/>
      <c r="BT46" s="163"/>
      <c r="BU46" s="112"/>
      <c r="BV46" s="112"/>
      <c r="BW46" s="111"/>
      <c r="BX46" s="107"/>
      <c r="BY46" s="112"/>
      <c r="BZ46" s="107"/>
      <c r="CA46" s="107"/>
      <c r="CB46" s="112"/>
      <c r="CC46" s="107"/>
      <c r="CD46" s="107"/>
      <c r="CE46" s="111"/>
      <c r="CF46" s="107"/>
      <c r="CG46" s="112"/>
      <c r="CH46" s="163"/>
      <c r="CI46" s="112"/>
      <c r="CJ46" s="112"/>
      <c r="CK46" s="111"/>
      <c r="CL46" s="107"/>
      <c r="CM46" s="112"/>
      <c r="CN46" s="107"/>
      <c r="CO46" s="107"/>
      <c r="CP46" s="112"/>
      <c r="CQ46" s="107"/>
      <c r="CR46" s="107"/>
      <c r="CS46" s="111"/>
      <c r="CT46" s="107"/>
      <c r="CU46" s="112"/>
      <c r="CV46" s="163"/>
      <c r="CW46" s="112"/>
      <c r="CX46" s="112"/>
      <c r="CY46" s="111"/>
      <c r="CZ46" s="107"/>
      <c r="DA46" s="112"/>
      <c r="DB46" s="107"/>
      <c r="DC46" s="107"/>
      <c r="DD46" s="112"/>
      <c r="DE46" s="107"/>
      <c r="DF46" s="107"/>
      <c r="DG46" s="111"/>
      <c r="DH46" s="107"/>
      <c r="DI46" s="112"/>
      <c r="DJ46" s="163"/>
      <c r="DK46" s="112"/>
      <c r="DL46" s="112"/>
      <c r="DM46" s="111"/>
      <c r="DN46" s="107"/>
      <c r="DO46" s="112"/>
      <c r="DP46" s="107"/>
      <c r="DQ46" s="107"/>
      <c r="DR46" s="112"/>
      <c r="DS46" s="107"/>
      <c r="DT46" s="107"/>
      <c r="DU46" s="111"/>
      <c r="DV46" s="107"/>
      <c r="DW46" s="112"/>
      <c r="DX46" s="163"/>
      <c r="DY46" s="112"/>
      <c r="DZ46" s="112"/>
      <c r="EA46" s="111"/>
      <c r="EB46" s="107"/>
      <c r="EC46" s="112"/>
      <c r="ED46" s="107"/>
      <c r="EE46" s="107"/>
      <c r="EF46" s="112"/>
      <c r="EG46" s="107"/>
      <c r="EH46" s="107"/>
      <c r="EI46" s="111"/>
      <c r="EJ46" s="107"/>
      <c r="EK46" s="112"/>
      <c r="EL46" s="163"/>
      <c r="EM46" s="113" t="s">
        <v>169</v>
      </c>
      <c r="EN46" s="114">
        <v>1650</v>
      </c>
      <c r="EO46" s="104"/>
      <c r="EP46" s="115" t="s">
        <v>77</v>
      </c>
      <c r="EV46" s="78" t="s">
        <v>238</v>
      </c>
      <c r="EW46" s="116"/>
      <c r="EX46" s="116"/>
      <c r="EY46" s="116" t="s">
        <v>98</v>
      </c>
      <c r="EZ46" s="116" t="s">
        <v>347</v>
      </c>
      <c r="FA46" s="115"/>
      <c r="FB46" s="78"/>
      <c r="FC46" s="78"/>
      <c r="FD46" s="163"/>
      <c r="FE46" s="78"/>
      <c r="FF46" s="78"/>
      <c r="FG46" s="78"/>
      <c r="FO46" s="163"/>
      <c r="FP46" s="78"/>
      <c r="FQ46" s="78"/>
      <c r="FR46" s="78"/>
    </row>
    <row r="47" spans="1:174" ht="15.95" customHeight="1" x14ac:dyDescent="0.25">
      <c r="A47" s="126"/>
      <c r="C47" s="127"/>
      <c r="D47" s="127"/>
      <c r="E47" s="163"/>
      <c r="F47" s="126" t="str">
        <f>mehrsprachigkeitBegriffsrückgabe(gewählteSpracheZurückgeben(), "Product (foreign language)")</f>
        <v>Produkt (Fremdsprache)</v>
      </c>
      <c r="G47" s="128"/>
      <c r="H47" s="128" t="s">
        <v>123</v>
      </c>
      <c r="I47" s="128" t="s">
        <v>102</v>
      </c>
      <c r="J47" s="108" t="s">
        <v>124</v>
      </c>
      <c r="K47" s="128"/>
      <c r="L47" s="163"/>
      <c r="M47" s="169"/>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63"/>
      <c r="BB47" s="104" t="s">
        <v>147</v>
      </c>
      <c r="BC47" s="72" t="s">
        <v>128</v>
      </c>
      <c r="BF47" s="163"/>
      <c r="BG47" s="129" t="s">
        <v>163</v>
      </c>
      <c r="BH47" s="107"/>
      <c r="BI47" s="163"/>
      <c r="BJ47" s="112"/>
      <c r="BK47" s="107"/>
      <c r="BL47" s="107"/>
      <c r="BM47" s="112"/>
      <c r="BN47" s="107"/>
      <c r="BO47" s="107"/>
      <c r="BP47" s="163"/>
      <c r="BQ47" s="129" t="s">
        <v>163</v>
      </c>
      <c r="BR47" s="107"/>
      <c r="BS47" s="112"/>
      <c r="BT47" s="163"/>
      <c r="BU47" s="112"/>
      <c r="BV47" s="112"/>
      <c r="BW47" s="129"/>
      <c r="BX47" s="107"/>
      <c r="BY47" s="112"/>
      <c r="BZ47" s="107"/>
      <c r="CA47" s="107"/>
      <c r="CB47" s="112"/>
      <c r="CC47" s="107"/>
      <c r="CD47" s="107"/>
      <c r="CE47" s="129"/>
      <c r="CF47" s="107"/>
      <c r="CG47" s="112"/>
      <c r="CH47" s="163"/>
      <c r="CI47" s="112"/>
      <c r="CJ47" s="112"/>
      <c r="CK47" s="129"/>
      <c r="CL47" s="107"/>
      <c r="CM47" s="112"/>
      <c r="CN47" s="107"/>
      <c r="CO47" s="107"/>
      <c r="CP47" s="112"/>
      <c r="CQ47" s="107"/>
      <c r="CR47" s="107"/>
      <c r="CS47" s="129"/>
      <c r="CT47" s="107"/>
      <c r="CU47" s="112"/>
      <c r="CV47" s="163"/>
      <c r="CW47" s="112"/>
      <c r="CX47" s="112"/>
      <c r="CY47" s="129"/>
      <c r="CZ47" s="107"/>
      <c r="DA47" s="112"/>
      <c r="DB47" s="107"/>
      <c r="DC47" s="107"/>
      <c r="DD47" s="112"/>
      <c r="DE47" s="107"/>
      <c r="DF47" s="107"/>
      <c r="DG47" s="129"/>
      <c r="DH47" s="107"/>
      <c r="DI47" s="112"/>
      <c r="DJ47" s="163"/>
      <c r="DK47" s="112"/>
      <c r="DL47" s="112"/>
      <c r="DM47" s="129"/>
      <c r="DN47" s="107"/>
      <c r="DO47" s="112"/>
      <c r="DP47" s="107"/>
      <c r="DQ47" s="107"/>
      <c r="DR47" s="112"/>
      <c r="DS47" s="107"/>
      <c r="DT47" s="107"/>
      <c r="DU47" s="129"/>
      <c r="DV47" s="107"/>
      <c r="DW47" s="112"/>
      <c r="DX47" s="163"/>
      <c r="DY47" s="112"/>
      <c r="DZ47" s="112"/>
      <c r="EA47" s="129"/>
      <c r="EB47" s="107"/>
      <c r="EC47" s="112"/>
      <c r="ED47" s="107"/>
      <c r="EE47" s="107"/>
      <c r="EF47" s="112"/>
      <c r="EG47" s="107"/>
      <c r="EH47" s="107"/>
      <c r="EI47" s="129"/>
      <c r="EJ47" s="107"/>
      <c r="EK47" s="112"/>
      <c r="EL47" s="163"/>
      <c r="EM47" s="113"/>
      <c r="EN47" s="124"/>
      <c r="EO47" s="125"/>
      <c r="EP47" s="115" t="s">
        <v>104</v>
      </c>
      <c r="EV47" s="78" t="s">
        <v>238</v>
      </c>
      <c r="EW47" s="123"/>
      <c r="EX47" s="123"/>
      <c r="EY47" s="123"/>
      <c r="EZ47" s="123"/>
      <c r="FA47" s="115"/>
      <c r="FB47" s="78"/>
      <c r="FC47" s="78"/>
      <c r="FD47" s="163"/>
      <c r="FE47" s="78"/>
      <c r="FF47" s="78"/>
      <c r="FG47" s="78"/>
      <c r="FO47" s="163"/>
      <c r="FP47" s="78"/>
      <c r="FQ47" s="78"/>
      <c r="FR47" s="78"/>
    </row>
    <row r="48" spans="1:174" ht="15.95" customHeight="1" x14ac:dyDescent="0.25">
      <c r="A48" s="126">
        <v>1</v>
      </c>
      <c r="C48" s="127"/>
      <c r="D48" s="127">
        <v>1</v>
      </c>
      <c r="E48" s="163"/>
      <c r="F48" s="126" t="str">
        <f>mehrsprachigkeitBegriffsrückgabe(gewählteSpracheZurückgeben(), "Variant")</f>
        <v>Variante</v>
      </c>
      <c r="G48" s="128" t="s">
        <v>126</v>
      </c>
      <c r="H48" s="128" t="s">
        <v>123</v>
      </c>
      <c r="I48" s="128" t="s">
        <v>87</v>
      </c>
      <c r="J48" s="72" t="s">
        <v>350</v>
      </c>
      <c r="K48" s="128"/>
      <c r="L48" s="163"/>
      <c r="M48" s="169" t="s">
        <v>342</v>
      </c>
      <c r="N48" s="128" t="s">
        <v>163</v>
      </c>
      <c r="O48" s="128" t="s">
        <v>343</v>
      </c>
      <c r="P48" s="128" t="s">
        <v>163</v>
      </c>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63"/>
      <c r="BB48" s="121" t="s">
        <v>146</v>
      </c>
      <c r="BC48" s="123" t="s">
        <v>120</v>
      </c>
      <c r="BF48" s="163"/>
      <c r="BG48" s="129">
        <v>180.67</v>
      </c>
      <c r="BH48" s="107" t="str">
        <f>mehrsprachigkeitBegriffsrückgabe(gewählteSpracheZurückgeben(), "Independent price")</f>
        <v>Eigenständiger Preis</v>
      </c>
      <c r="BI48" s="163"/>
      <c r="BJ48" s="105">
        <v>1</v>
      </c>
      <c r="BK48" s="121" t="str">
        <f>mehrsprachigkeitBegriffsrückgabe(gewählteSpracheZurückgeben(), "Fixed scale price")</f>
        <v>Feste Preisangabe</v>
      </c>
      <c r="BL48" s="121" t="str">
        <f>mehrsprachigkeitBegriffsrückgabe(gewählteSpracheZurückgeben(), "Separated by products, variants and configurations")</f>
        <v>Produkte, Varianten und Konfigurationen getrennt</v>
      </c>
      <c r="BM48" s="105">
        <v>1</v>
      </c>
      <c r="BN48" s="107"/>
      <c r="BO48" s="107" t="s">
        <v>233</v>
      </c>
      <c r="BP48" s="163"/>
      <c r="BQ48" s="129" t="s">
        <v>163</v>
      </c>
      <c r="BR48" s="107" t="str">
        <f>mehrsprachigkeitBegriffsrückgabe(gewählteSpracheZurückgeben(), "Independent price")</f>
        <v>Eigenständiger Preis</v>
      </c>
      <c r="BS48" s="112"/>
      <c r="BT48" s="163"/>
      <c r="BU48" s="112"/>
      <c r="BV48" s="112"/>
      <c r="BW48" s="129"/>
      <c r="BX48" s="107"/>
      <c r="BY48" s="112"/>
      <c r="BZ48" s="121"/>
      <c r="CA48" s="121"/>
      <c r="CB48" s="112"/>
      <c r="CC48" s="107"/>
      <c r="CD48" s="107"/>
      <c r="CE48" s="129"/>
      <c r="CF48" s="107"/>
      <c r="CG48" s="112"/>
      <c r="CH48" s="163"/>
      <c r="CI48" s="112"/>
      <c r="CJ48" s="112"/>
      <c r="CK48" s="129"/>
      <c r="CL48" s="107"/>
      <c r="CM48" s="112"/>
      <c r="CN48" s="121"/>
      <c r="CO48" s="121"/>
      <c r="CP48" s="112"/>
      <c r="CQ48" s="107"/>
      <c r="CR48" s="107"/>
      <c r="CS48" s="129"/>
      <c r="CT48" s="107"/>
      <c r="CU48" s="112"/>
      <c r="CV48" s="163"/>
      <c r="CW48" s="112"/>
      <c r="CX48" s="112"/>
      <c r="CY48" s="129"/>
      <c r="CZ48" s="107"/>
      <c r="DA48" s="112"/>
      <c r="DB48" s="121"/>
      <c r="DC48" s="121"/>
      <c r="DD48" s="112"/>
      <c r="DE48" s="107"/>
      <c r="DF48" s="107"/>
      <c r="DG48" s="129"/>
      <c r="DH48" s="107"/>
      <c r="DI48" s="112"/>
      <c r="DJ48" s="163"/>
      <c r="DK48" s="112"/>
      <c r="DL48" s="112"/>
      <c r="DM48" s="129"/>
      <c r="DN48" s="107"/>
      <c r="DO48" s="112"/>
      <c r="DP48" s="121"/>
      <c r="DQ48" s="121"/>
      <c r="DR48" s="112"/>
      <c r="DS48" s="107"/>
      <c r="DT48" s="107"/>
      <c r="DU48" s="129"/>
      <c r="DV48" s="107"/>
      <c r="DW48" s="112"/>
      <c r="DX48" s="163"/>
      <c r="DY48" s="112"/>
      <c r="DZ48" s="112"/>
      <c r="EA48" s="129"/>
      <c r="EB48" s="107"/>
      <c r="EC48" s="112"/>
      <c r="ED48" s="121"/>
      <c r="EE48" s="121"/>
      <c r="EF48" s="112"/>
      <c r="EG48" s="107"/>
      <c r="EH48" s="107"/>
      <c r="EI48" s="129"/>
      <c r="EJ48" s="107"/>
      <c r="EK48" s="112"/>
      <c r="EL48" s="163"/>
      <c r="EM48" s="113"/>
      <c r="EN48" s="124">
        <v>1650</v>
      </c>
      <c r="EO48" s="125" t="str">
        <f>mehrsprachigkeitBegriffsrückgabe(gewählteSpracheZurückgeben(), "Independent weight")</f>
        <v>Eigenständiges Gewicht</v>
      </c>
      <c r="EP48" s="115"/>
      <c r="EV48" s="122"/>
      <c r="EW48" s="123"/>
      <c r="EX48" s="123"/>
      <c r="EY48" s="123" t="s">
        <v>127</v>
      </c>
      <c r="EZ48" s="123" t="s">
        <v>348</v>
      </c>
      <c r="FA48" s="115"/>
      <c r="FB48" s="78"/>
      <c r="FC48" s="78"/>
      <c r="FD48" s="163"/>
      <c r="FE48" s="78"/>
      <c r="FF48" s="78"/>
      <c r="FG48" s="78"/>
      <c r="FO48" s="163"/>
      <c r="FP48" s="78"/>
      <c r="FQ48" s="78"/>
      <c r="FR48" s="78"/>
    </row>
    <row r="49" spans="1:174" ht="15.95" customHeight="1" x14ac:dyDescent="0.25">
      <c r="A49" s="126"/>
      <c r="C49" s="127"/>
      <c r="D49" s="127"/>
      <c r="E49" s="163"/>
      <c r="F49" s="126" t="str">
        <f>mehrsprachigkeitBegriffsrückgabe(gewählteSpracheZurückgeben(), "Variant (foreign language)")</f>
        <v>Variante (Fremdsprache)</v>
      </c>
      <c r="G49" s="128"/>
      <c r="H49" s="128" t="s">
        <v>126</v>
      </c>
      <c r="I49" s="128" t="s">
        <v>102</v>
      </c>
      <c r="J49" s="72" t="s">
        <v>119</v>
      </c>
      <c r="K49" s="128"/>
      <c r="L49" s="163"/>
      <c r="M49" s="169"/>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63"/>
      <c r="BB49" s="121" t="s">
        <v>147</v>
      </c>
      <c r="BC49" s="123" t="s">
        <v>128</v>
      </c>
      <c r="BF49" s="163"/>
      <c r="BG49" s="129" t="s">
        <v>163</v>
      </c>
      <c r="BH49" s="107"/>
      <c r="BI49" s="163"/>
      <c r="BJ49" s="105"/>
      <c r="BK49" s="121"/>
      <c r="BL49" s="121"/>
      <c r="BM49" s="105"/>
      <c r="BN49" s="107"/>
      <c r="BO49" s="107"/>
      <c r="BP49" s="163"/>
      <c r="BQ49" s="129" t="s">
        <v>163</v>
      </c>
      <c r="BR49" s="107"/>
      <c r="BS49" s="112"/>
      <c r="BT49" s="163"/>
      <c r="BU49" s="112"/>
      <c r="BV49" s="112"/>
      <c r="BW49" s="129"/>
      <c r="BX49" s="107"/>
      <c r="BY49" s="112"/>
      <c r="BZ49" s="121"/>
      <c r="CA49" s="121"/>
      <c r="CB49" s="112"/>
      <c r="CC49" s="107"/>
      <c r="CD49" s="107"/>
      <c r="CE49" s="129"/>
      <c r="CF49" s="107"/>
      <c r="CG49" s="112"/>
      <c r="CH49" s="163"/>
      <c r="CI49" s="112"/>
      <c r="CJ49" s="112"/>
      <c r="CK49" s="129"/>
      <c r="CL49" s="107"/>
      <c r="CM49" s="112"/>
      <c r="CN49" s="121"/>
      <c r="CO49" s="121"/>
      <c r="CP49" s="112"/>
      <c r="CQ49" s="107"/>
      <c r="CR49" s="107"/>
      <c r="CS49" s="129"/>
      <c r="CT49" s="107"/>
      <c r="CU49" s="112"/>
      <c r="CV49" s="163"/>
      <c r="CW49" s="112"/>
      <c r="CX49" s="112"/>
      <c r="CY49" s="129"/>
      <c r="CZ49" s="107"/>
      <c r="DA49" s="112"/>
      <c r="DB49" s="121"/>
      <c r="DC49" s="121"/>
      <c r="DD49" s="112"/>
      <c r="DE49" s="107"/>
      <c r="DF49" s="107"/>
      <c r="DG49" s="129"/>
      <c r="DH49" s="107"/>
      <c r="DI49" s="112"/>
      <c r="DJ49" s="163"/>
      <c r="DK49" s="112"/>
      <c r="DL49" s="112"/>
      <c r="DM49" s="129"/>
      <c r="DN49" s="107"/>
      <c r="DO49" s="112"/>
      <c r="DP49" s="121"/>
      <c r="DQ49" s="121"/>
      <c r="DR49" s="112"/>
      <c r="DS49" s="107"/>
      <c r="DT49" s="107"/>
      <c r="DU49" s="129"/>
      <c r="DV49" s="107"/>
      <c r="DW49" s="112"/>
      <c r="DX49" s="163"/>
      <c r="DY49" s="112"/>
      <c r="DZ49" s="112"/>
      <c r="EA49" s="129"/>
      <c r="EB49" s="107"/>
      <c r="EC49" s="112"/>
      <c r="ED49" s="121"/>
      <c r="EE49" s="121"/>
      <c r="EF49" s="112"/>
      <c r="EG49" s="107"/>
      <c r="EH49" s="107"/>
      <c r="EI49" s="129"/>
      <c r="EJ49" s="107"/>
      <c r="EK49" s="112"/>
      <c r="EL49" s="163"/>
      <c r="EM49" s="113"/>
      <c r="EN49" s="124"/>
      <c r="EO49" s="125"/>
      <c r="EP49" s="115"/>
      <c r="EV49" s="122"/>
      <c r="EW49" s="123"/>
      <c r="EX49" s="123"/>
      <c r="EY49" s="123"/>
      <c r="EZ49" s="123"/>
      <c r="FA49" s="115"/>
      <c r="FB49" s="78"/>
      <c r="FC49" s="78"/>
      <c r="FD49" s="163"/>
      <c r="FE49" s="78"/>
      <c r="FF49" s="78"/>
      <c r="FG49" s="78"/>
      <c r="FO49" s="163"/>
      <c r="FP49" s="78"/>
      <c r="FQ49" s="78"/>
      <c r="FR49" s="78"/>
    </row>
    <row r="50" spans="1:174" ht="15.95" customHeight="1" x14ac:dyDescent="0.25">
      <c r="A50" s="126">
        <v>2</v>
      </c>
      <c r="C50" s="127"/>
      <c r="D50" s="127">
        <v>1</v>
      </c>
      <c r="E50" s="163"/>
      <c r="F50" s="126" t="str">
        <f>mehrsprachigkeitBegriffsrückgabe(gewählteSpracheZurückgeben(), "Variant")</f>
        <v>Variante</v>
      </c>
      <c r="G50" s="128" t="s">
        <v>129</v>
      </c>
      <c r="H50" s="128" t="s">
        <v>123</v>
      </c>
      <c r="I50" s="128" t="s">
        <v>87</v>
      </c>
      <c r="J50" s="72" t="s">
        <v>95</v>
      </c>
      <c r="K50" s="128"/>
      <c r="L50" s="163"/>
      <c r="M50" s="169" t="s">
        <v>342</v>
      </c>
      <c r="N50" s="128" t="s">
        <v>163</v>
      </c>
      <c r="O50" s="128" t="s">
        <v>343</v>
      </c>
      <c r="P50" s="128" t="s">
        <v>163</v>
      </c>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63"/>
      <c r="BB50" s="121" t="s">
        <v>146</v>
      </c>
      <c r="BC50" s="123" t="s">
        <v>120</v>
      </c>
      <c r="BF50" s="163"/>
      <c r="BG50" s="129">
        <v>205.88</v>
      </c>
      <c r="BH50" s="107" t="str">
        <f>mehrsprachigkeitBegriffsrückgabe(gewählteSpracheZurückgeben(), "Independent price")</f>
        <v>Eigenständiger Preis</v>
      </c>
      <c r="BI50" s="163"/>
      <c r="BJ50" s="105">
        <v>1</v>
      </c>
      <c r="BK50" s="121" t="str">
        <f>mehrsprachigkeitBegriffsrückgabe(gewählteSpracheZurückgeben(), "Fixed scale price")</f>
        <v>Feste Preisangabe</v>
      </c>
      <c r="BL50" s="121" t="str">
        <f>mehrsprachigkeitBegriffsrückgabe(gewählteSpracheZurückgeben(), "Separated by products, variants and configurations")</f>
        <v>Produkte, Varianten und Konfigurationen getrennt</v>
      </c>
      <c r="BM50" s="105">
        <v>1</v>
      </c>
      <c r="BN50" s="107"/>
      <c r="BO50" s="107" t="s">
        <v>226</v>
      </c>
      <c r="BP50" s="163"/>
      <c r="BQ50" s="129" t="s">
        <v>163</v>
      </c>
      <c r="BR50" s="107" t="str">
        <f>mehrsprachigkeitBegriffsrückgabe(gewählteSpracheZurückgeben(), "Independent price")</f>
        <v>Eigenständiger Preis</v>
      </c>
      <c r="BS50" s="112"/>
      <c r="BT50" s="163"/>
      <c r="BU50" s="112"/>
      <c r="BV50" s="112"/>
      <c r="BW50" s="129"/>
      <c r="BX50" s="107"/>
      <c r="BY50" s="112"/>
      <c r="BZ50" s="121"/>
      <c r="CA50" s="121"/>
      <c r="CB50" s="112"/>
      <c r="CC50" s="107"/>
      <c r="CD50" s="107"/>
      <c r="CE50" s="129"/>
      <c r="CF50" s="107"/>
      <c r="CG50" s="112"/>
      <c r="CH50" s="163"/>
      <c r="CI50" s="112"/>
      <c r="CJ50" s="112"/>
      <c r="CK50" s="129"/>
      <c r="CL50" s="107"/>
      <c r="CM50" s="112"/>
      <c r="CN50" s="121"/>
      <c r="CO50" s="121"/>
      <c r="CP50" s="112"/>
      <c r="CQ50" s="107"/>
      <c r="CR50" s="107"/>
      <c r="CS50" s="129"/>
      <c r="CT50" s="107"/>
      <c r="CU50" s="112"/>
      <c r="CV50" s="163"/>
      <c r="CW50" s="112"/>
      <c r="CX50" s="112"/>
      <c r="CY50" s="129"/>
      <c r="CZ50" s="107"/>
      <c r="DA50" s="112"/>
      <c r="DB50" s="121"/>
      <c r="DC50" s="121"/>
      <c r="DD50" s="112"/>
      <c r="DE50" s="107"/>
      <c r="DF50" s="107"/>
      <c r="DG50" s="129"/>
      <c r="DH50" s="107"/>
      <c r="DI50" s="112"/>
      <c r="DJ50" s="163"/>
      <c r="DK50" s="112"/>
      <c r="DL50" s="112"/>
      <c r="DM50" s="129"/>
      <c r="DN50" s="107"/>
      <c r="DO50" s="112"/>
      <c r="DP50" s="121"/>
      <c r="DQ50" s="121"/>
      <c r="DR50" s="112"/>
      <c r="DS50" s="107"/>
      <c r="DT50" s="107"/>
      <c r="DU50" s="129"/>
      <c r="DV50" s="107"/>
      <c r="DW50" s="112"/>
      <c r="DX50" s="163"/>
      <c r="DY50" s="112"/>
      <c r="DZ50" s="112"/>
      <c r="EA50" s="129"/>
      <c r="EB50" s="107"/>
      <c r="EC50" s="112"/>
      <c r="ED50" s="121"/>
      <c r="EE50" s="121"/>
      <c r="EF50" s="112"/>
      <c r="EG50" s="107"/>
      <c r="EH50" s="107"/>
      <c r="EI50" s="129"/>
      <c r="EJ50" s="107"/>
      <c r="EK50" s="112"/>
      <c r="EL50" s="163"/>
      <c r="EM50" s="113"/>
      <c r="EN50" s="124">
        <v>1650</v>
      </c>
      <c r="EO50" s="125" t="str">
        <f>mehrsprachigkeitBegriffsrückgabe(gewählteSpracheZurückgeben(), "Independent weight")</f>
        <v>Eigenständiges Gewicht</v>
      </c>
      <c r="EP50" s="115"/>
      <c r="EV50" s="122"/>
      <c r="EW50" s="123"/>
      <c r="EX50" s="123"/>
      <c r="EY50" s="123" t="s">
        <v>130</v>
      </c>
      <c r="EZ50" s="123" t="s">
        <v>348</v>
      </c>
      <c r="FA50" s="115"/>
      <c r="FB50" s="78"/>
      <c r="FC50" s="78"/>
      <c r="FD50" s="163"/>
      <c r="FE50" s="78"/>
      <c r="FF50" s="78"/>
      <c r="FG50" s="78"/>
      <c r="FO50" s="163"/>
      <c r="FP50" s="78"/>
      <c r="FQ50" s="78"/>
      <c r="FR50" s="78"/>
    </row>
    <row r="51" spans="1:174" ht="15.95" customHeight="1" x14ac:dyDescent="0.25">
      <c r="A51" s="126"/>
      <c r="C51" s="127"/>
      <c r="D51" s="127"/>
      <c r="E51" s="163"/>
      <c r="F51" s="126" t="str">
        <f>mehrsprachigkeitBegriffsrückgabe(gewählteSpracheZurückgeben(), "Variant (foreign language)")</f>
        <v>Variante (Fremdsprache)</v>
      </c>
      <c r="G51" s="128"/>
      <c r="H51" s="128" t="s">
        <v>129</v>
      </c>
      <c r="I51" s="128" t="s">
        <v>102</v>
      </c>
      <c r="J51" s="72" t="s">
        <v>121</v>
      </c>
      <c r="K51" s="128"/>
      <c r="L51" s="163"/>
      <c r="M51" s="169"/>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63"/>
      <c r="BB51" s="121" t="s">
        <v>147</v>
      </c>
      <c r="BC51" s="123" t="s">
        <v>128</v>
      </c>
      <c r="BF51" s="163"/>
      <c r="BG51" s="129" t="s">
        <v>163</v>
      </c>
      <c r="BH51" s="107"/>
      <c r="BI51" s="163"/>
      <c r="BJ51" s="105"/>
      <c r="BK51" s="121"/>
      <c r="BL51" s="121"/>
      <c r="BM51" s="105"/>
      <c r="BN51" s="107"/>
      <c r="BO51" s="107"/>
      <c r="BP51" s="163"/>
      <c r="BQ51" s="129" t="s">
        <v>163</v>
      </c>
      <c r="BR51" s="107"/>
      <c r="BS51" s="112"/>
      <c r="BT51" s="163"/>
      <c r="BU51" s="112"/>
      <c r="BV51" s="112"/>
      <c r="BW51" s="129"/>
      <c r="BX51" s="107"/>
      <c r="BY51" s="112"/>
      <c r="BZ51" s="121"/>
      <c r="CA51" s="121"/>
      <c r="CB51" s="112"/>
      <c r="CC51" s="107"/>
      <c r="CD51" s="107"/>
      <c r="CE51" s="129"/>
      <c r="CF51" s="107"/>
      <c r="CG51" s="112"/>
      <c r="CH51" s="163"/>
      <c r="CI51" s="112"/>
      <c r="CJ51" s="112"/>
      <c r="CK51" s="129"/>
      <c r="CL51" s="107"/>
      <c r="CM51" s="112"/>
      <c r="CN51" s="121"/>
      <c r="CO51" s="121"/>
      <c r="CP51" s="112"/>
      <c r="CQ51" s="107"/>
      <c r="CR51" s="107"/>
      <c r="CS51" s="129"/>
      <c r="CT51" s="107"/>
      <c r="CU51" s="112"/>
      <c r="CV51" s="163"/>
      <c r="CW51" s="112"/>
      <c r="CX51" s="112"/>
      <c r="CY51" s="129"/>
      <c r="CZ51" s="107"/>
      <c r="DA51" s="112"/>
      <c r="DB51" s="121"/>
      <c r="DC51" s="121"/>
      <c r="DD51" s="112"/>
      <c r="DE51" s="107"/>
      <c r="DF51" s="107"/>
      <c r="DG51" s="129"/>
      <c r="DH51" s="107"/>
      <c r="DI51" s="112"/>
      <c r="DJ51" s="163"/>
      <c r="DK51" s="112"/>
      <c r="DL51" s="112"/>
      <c r="DM51" s="129"/>
      <c r="DN51" s="107"/>
      <c r="DO51" s="112"/>
      <c r="DP51" s="121"/>
      <c r="DQ51" s="121"/>
      <c r="DR51" s="112"/>
      <c r="DS51" s="107"/>
      <c r="DT51" s="107"/>
      <c r="DU51" s="129"/>
      <c r="DV51" s="107"/>
      <c r="DW51" s="112"/>
      <c r="DX51" s="163"/>
      <c r="DY51" s="112"/>
      <c r="DZ51" s="112"/>
      <c r="EA51" s="129"/>
      <c r="EB51" s="107"/>
      <c r="EC51" s="112"/>
      <c r="ED51" s="121"/>
      <c r="EE51" s="121"/>
      <c r="EF51" s="112"/>
      <c r="EG51" s="107"/>
      <c r="EH51" s="107"/>
      <c r="EI51" s="129"/>
      <c r="EJ51" s="107"/>
      <c r="EK51" s="112"/>
      <c r="EL51" s="163"/>
      <c r="EM51" s="113"/>
      <c r="EN51" s="124"/>
      <c r="EO51" s="125"/>
      <c r="EP51" s="115"/>
      <c r="EV51" s="122"/>
      <c r="EW51" s="123"/>
      <c r="EX51" s="123"/>
      <c r="EY51" s="123"/>
      <c r="EZ51" s="123"/>
      <c r="FA51" s="115"/>
      <c r="FB51" s="78"/>
      <c r="FC51" s="78"/>
      <c r="FD51" s="163"/>
      <c r="FE51" s="78"/>
      <c r="FF51" s="78"/>
      <c r="FG51" s="78"/>
      <c r="FO51" s="163"/>
      <c r="FP51" s="78"/>
      <c r="FQ51" s="78"/>
      <c r="FR51" s="78"/>
    </row>
    <row r="52" spans="1:174" ht="15.95" customHeight="1" x14ac:dyDescent="0.25">
      <c r="A52" s="126">
        <v>3</v>
      </c>
      <c r="C52" s="127"/>
      <c r="D52" s="127">
        <v>1</v>
      </c>
      <c r="E52" s="163"/>
      <c r="F52" s="126" t="str">
        <f>mehrsprachigkeitBegriffsrückgabe(gewählteSpracheZurückgeben(), "Variant")</f>
        <v>Variante</v>
      </c>
      <c r="G52" s="128" t="s">
        <v>131</v>
      </c>
      <c r="H52" s="128" t="s">
        <v>123</v>
      </c>
      <c r="I52" s="128" t="s">
        <v>87</v>
      </c>
      <c r="J52" s="72" t="s">
        <v>168</v>
      </c>
      <c r="K52" s="128"/>
      <c r="L52" s="163"/>
      <c r="M52" s="169" t="s">
        <v>342</v>
      </c>
      <c r="N52" s="128" t="s">
        <v>163</v>
      </c>
      <c r="O52" s="128" t="s">
        <v>343</v>
      </c>
      <c r="P52" s="128" t="s">
        <v>163</v>
      </c>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63"/>
      <c r="BB52" s="121" t="s">
        <v>146</v>
      </c>
      <c r="BC52" s="123" t="s">
        <v>120</v>
      </c>
      <c r="BF52" s="163"/>
      <c r="BG52" s="129">
        <v>167.23</v>
      </c>
      <c r="BH52" s="107" t="str">
        <f>mehrsprachigkeitBegriffsrückgabe(gewählteSpracheZurückgeben(), "Independent price")</f>
        <v>Eigenständiger Preis</v>
      </c>
      <c r="BI52" s="163"/>
      <c r="BJ52" s="105">
        <v>1</v>
      </c>
      <c r="BK52" s="121" t="str">
        <f>mehrsprachigkeitBegriffsrückgabe(gewählteSpracheZurückgeben(), "Fixed scale price")</f>
        <v>Feste Preisangabe</v>
      </c>
      <c r="BL52" s="121" t="str">
        <f>mehrsprachigkeitBegriffsrückgabe(gewählteSpracheZurückgeben(), "Separated by products, variants and configurations")</f>
        <v>Produkte, Varianten und Konfigurationen getrennt</v>
      </c>
      <c r="BM52" s="105">
        <v>1</v>
      </c>
      <c r="BN52" s="107"/>
      <c r="BO52" s="107" t="s">
        <v>228</v>
      </c>
      <c r="BP52" s="163"/>
      <c r="BQ52" s="129" t="s">
        <v>163</v>
      </c>
      <c r="BR52" s="107" t="str">
        <f>mehrsprachigkeitBegriffsrückgabe(gewählteSpracheZurückgeben(), "Independent price")</f>
        <v>Eigenständiger Preis</v>
      </c>
      <c r="BS52" s="112"/>
      <c r="BT52" s="163"/>
      <c r="BU52" s="112"/>
      <c r="BV52" s="112"/>
      <c r="BW52" s="129"/>
      <c r="BX52" s="107"/>
      <c r="BY52" s="112"/>
      <c r="BZ52" s="121"/>
      <c r="CA52" s="121"/>
      <c r="CB52" s="112"/>
      <c r="CC52" s="107"/>
      <c r="CD52" s="107"/>
      <c r="CE52" s="129"/>
      <c r="CF52" s="107"/>
      <c r="CG52" s="112"/>
      <c r="CH52" s="163"/>
      <c r="CI52" s="112"/>
      <c r="CJ52" s="112"/>
      <c r="CK52" s="129"/>
      <c r="CL52" s="107"/>
      <c r="CM52" s="112"/>
      <c r="CN52" s="121"/>
      <c r="CO52" s="121"/>
      <c r="CP52" s="112"/>
      <c r="CQ52" s="107"/>
      <c r="CR52" s="107"/>
      <c r="CS52" s="129"/>
      <c r="CT52" s="107"/>
      <c r="CU52" s="112"/>
      <c r="CV52" s="163"/>
      <c r="CW52" s="112"/>
      <c r="CX52" s="112"/>
      <c r="CY52" s="129"/>
      <c r="CZ52" s="107"/>
      <c r="DA52" s="112"/>
      <c r="DB52" s="121"/>
      <c r="DC52" s="121"/>
      <c r="DD52" s="112"/>
      <c r="DE52" s="107"/>
      <c r="DF52" s="107"/>
      <c r="DG52" s="129"/>
      <c r="DH52" s="107"/>
      <c r="DI52" s="112"/>
      <c r="DJ52" s="163"/>
      <c r="DK52" s="112"/>
      <c r="DL52" s="112"/>
      <c r="DM52" s="129"/>
      <c r="DN52" s="107"/>
      <c r="DO52" s="112"/>
      <c r="DP52" s="121"/>
      <c r="DQ52" s="121"/>
      <c r="DR52" s="112"/>
      <c r="DS52" s="107"/>
      <c r="DT52" s="107"/>
      <c r="DU52" s="129"/>
      <c r="DV52" s="107"/>
      <c r="DW52" s="112"/>
      <c r="DX52" s="163"/>
      <c r="DY52" s="112"/>
      <c r="DZ52" s="112"/>
      <c r="EA52" s="129"/>
      <c r="EB52" s="107"/>
      <c r="EC52" s="112"/>
      <c r="ED52" s="121"/>
      <c r="EE52" s="121"/>
      <c r="EF52" s="112"/>
      <c r="EG52" s="107"/>
      <c r="EH52" s="107"/>
      <c r="EI52" s="129"/>
      <c r="EJ52" s="107"/>
      <c r="EK52" s="112"/>
      <c r="EL52" s="163"/>
      <c r="EM52" s="113"/>
      <c r="EN52" s="124">
        <v>1650</v>
      </c>
      <c r="EO52" s="125" t="str">
        <f>mehrsprachigkeitBegriffsrückgabe(gewählteSpracheZurückgeben(), "Independent weight")</f>
        <v>Eigenständiges Gewicht</v>
      </c>
      <c r="EP52" s="115"/>
      <c r="EV52" s="122"/>
      <c r="EW52" s="123"/>
      <c r="EX52" s="123"/>
      <c r="EY52" s="123" t="s">
        <v>165</v>
      </c>
      <c r="EZ52" s="123" t="s">
        <v>348</v>
      </c>
      <c r="FA52" s="115"/>
      <c r="FB52" s="78"/>
      <c r="FC52" s="78"/>
      <c r="FD52" s="163"/>
      <c r="FE52" s="78"/>
      <c r="FF52" s="78"/>
      <c r="FG52" s="78"/>
      <c r="FO52" s="163"/>
      <c r="FP52" s="78"/>
      <c r="FQ52" s="78"/>
      <c r="FR52" s="78"/>
    </row>
    <row r="53" spans="1:174" ht="15.95" customHeight="1" x14ac:dyDescent="0.25">
      <c r="A53" s="126"/>
      <c r="C53" s="127"/>
      <c r="D53" s="127"/>
      <c r="E53" s="163"/>
      <c r="F53" s="126" t="str">
        <f>mehrsprachigkeitBegriffsrückgabe(gewählteSpracheZurückgeben(), "Variant (foreign language)")</f>
        <v>Variante (Fremdsprache)</v>
      </c>
      <c r="G53" s="128"/>
      <c r="H53" s="128" t="s">
        <v>131</v>
      </c>
      <c r="I53" s="128" t="s">
        <v>102</v>
      </c>
      <c r="J53" s="72" t="s">
        <v>122</v>
      </c>
      <c r="K53" s="128"/>
      <c r="L53" s="163"/>
      <c r="M53" s="169"/>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63"/>
      <c r="BB53" s="121" t="s">
        <v>147</v>
      </c>
      <c r="BC53" s="123" t="s">
        <v>128</v>
      </c>
      <c r="BF53" s="163"/>
      <c r="BG53" s="129" t="s">
        <v>163</v>
      </c>
      <c r="BH53" s="107"/>
      <c r="BI53" s="163"/>
      <c r="BJ53" s="105"/>
      <c r="BK53" s="121"/>
      <c r="BL53" s="121"/>
      <c r="BM53" s="105"/>
      <c r="BN53" s="107"/>
      <c r="BO53" s="107"/>
      <c r="BP53" s="163"/>
      <c r="BQ53" s="129" t="s">
        <v>163</v>
      </c>
      <c r="BR53" s="130"/>
      <c r="BS53" s="112"/>
      <c r="BT53" s="163"/>
      <c r="BU53" s="112"/>
      <c r="BV53" s="112"/>
      <c r="BW53" s="129"/>
      <c r="BX53" s="130"/>
      <c r="BY53" s="112"/>
      <c r="BZ53" s="121"/>
      <c r="CA53" s="121"/>
      <c r="CB53" s="112"/>
      <c r="CC53" s="107"/>
      <c r="CD53" s="107"/>
      <c r="CE53" s="129"/>
      <c r="CF53" s="130"/>
      <c r="CG53" s="112"/>
      <c r="CH53" s="163"/>
      <c r="CI53" s="112"/>
      <c r="CJ53" s="112"/>
      <c r="CK53" s="129"/>
      <c r="CL53" s="130"/>
      <c r="CM53" s="112"/>
      <c r="CN53" s="121"/>
      <c r="CO53" s="121"/>
      <c r="CP53" s="112"/>
      <c r="CQ53" s="107"/>
      <c r="CR53" s="107"/>
      <c r="CS53" s="129"/>
      <c r="CT53" s="130"/>
      <c r="CU53" s="112"/>
      <c r="CV53" s="163"/>
      <c r="CW53" s="112"/>
      <c r="CX53" s="112"/>
      <c r="CY53" s="129"/>
      <c r="CZ53" s="130"/>
      <c r="DA53" s="112"/>
      <c r="DB53" s="121"/>
      <c r="DC53" s="121"/>
      <c r="DD53" s="112"/>
      <c r="DE53" s="107"/>
      <c r="DF53" s="107"/>
      <c r="DG53" s="129"/>
      <c r="DH53" s="130"/>
      <c r="DI53" s="112"/>
      <c r="DJ53" s="163"/>
      <c r="DK53" s="112"/>
      <c r="DL53" s="112"/>
      <c r="DM53" s="129"/>
      <c r="DN53" s="130"/>
      <c r="DO53" s="112"/>
      <c r="DP53" s="121"/>
      <c r="DQ53" s="121"/>
      <c r="DR53" s="112"/>
      <c r="DS53" s="107"/>
      <c r="DT53" s="107"/>
      <c r="DU53" s="129"/>
      <c r="DV53" s="130"/>
      <c r="DW53" s="112"/>
      <c r="DX53" s="163"/>
      <c r="DY53" s="112"/>
      <c r="DZ53" s="112"/>
      <c r="EA53" s="129"/>
      <c r="EB53" s="130"/>
      <c r="EC53" s="112"/>
      <c r="ED53" s="121"/>
      <c r="EE53" s="121"/>
      <c r="EF53" s="112"/>
      <c r="EG53" s="107"/>
      <c r="EH53" s="107"/>
      <c r="EI53" s="129"/>
      <c r="EJ53" s="130"/>
      <c r="EK53" s="112"/>
      <c r="EL53" s="163"/>
      <c r="EM53" s="113"/>
      <c r="EN53" s="124"/>
      <c r="EO53" s="125"/>
      <c r="EP53" s="115"/>
      <c r="EV53" s="122"/>
      <c r="EW53" s="123"/>
      <c r="EX53" s="123"/>
      <c r="EY53" s="123"/>
      <c r="EZ53" s="123"/>
      <c r="FA53" s="115"/>
      <c r="FB53" s="78"/>
      <c r="FC53" s="78"/>
      <c r="FD53" s="163"/>
      <c r="FE53" s="78"/>
      <c r="FF53" s="78"/>
      <c r="FG53" s="78"/>
      <c r="FO53" s="163"/>
      <c r="FP53" s="78"/>
      <c r="FQ53" s="78"/>
      <c r="FR53" s="78"/>
    </row>
    <row r="54" spans="1:174" ht="15.95" customHeight="1" x14ac:dyDescent="0.25">
      <c r="A54" s="117"/>
      <c r="C54" s="118"/>
      <c r="D54" s="118">
        <v>1</v>
      </c>
      <c r="E54" s="162"/>
      <c r="F54" s="117" t="str">
        <f>mehrsprachigkeitBegriffsrückgabe(gewählteSpracheZurückgeben(), "Product")</f>
        <v>Produkt</v>
      </c>
      <c r="G54" s="119" t="s">
        <v>132</v>
      </c>
      <c r="H54" s="119" t="s">
        <v>163</v>
      </c>
      <c r="I54" s="119" t="s">
        <v>87</v>
      </c>
      <c r="J54" s="119" t="s">
        <v>133</v>
      </c>
      <c r="K54" s="128"/>
      <c r="L54" s="162"/>
      <c r="M54" s="169" t="s">
        <v>342</v>
      </c>
      <c r="N54" s="128" t="s">
        <v>163</v>
      </c>
      <c r="O54" s="119"/>
      <c r="P54" s="119"/>
      <c r="Q54" s="119"/>
      <c r="R54" s="119"/>
      <c r="S54" s="119"/>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119"/>
      <c r="AT54" s="119"/>
      <c r="AU54" s="119"/>
      <c r="AV54" s="119"/>
      <c r="AW54" s="119"/>
      <c r="AX54" s="119"/>
      <c r="AY54" s="119"/>
      <c r="AZ54" s="119"/>
      <c r="BA54" s="162"/>
      <c r="BB54" s="104" t="s">
        <v>148</v>
      </c>
      <c r="BC54" s="72" t="s">
        <v>96</v>
      </c>
      <c r="BD54" s="72" t="s">
        <v>250</v>
      </c>
      <c r="BE54" s="72" t="s">
        <v>134</v>
      </c>
      <c r="BF54" s="162"/>
      <c r="BG54" s="120">
        <v>142.02000000000001</v>
      </c>
      <c r="BH54" s="107"/>
      <c r="BI54" s="162"/>
      <c r="BJ54" s="105"/>
      <c r="BK54" s="107"/>
      <c r="BL54" s="107"/>
      <c r="BM54" s="105"/>
      <c r="BN54" s="107"/>
      <c r="BO54" s="107"/>
      <c r="BP54" s="162"/>
      <c r="BQ54" s="120" t="s">
        <v>163</v>
      </c>
      <c r="BR54" s="121"/>
      <c r="BS54" s="105"/>
      <c r="BT54" s="162"/>
      <c r="BU54" s="105"/>
      <c r="BV54" s="105"/>
      <c r="BW54" s="120"/>
      <c r="BX54" s="121"/>
      <c r="BY54" s="105"/>
      <c r="BZ54" s="107"/>
      <c r="CA54" s="107"/>
      <c r="CB54" s="105"/>
      <c r="CC54" s="107"/>
      <c r="CD54" s="107"/>
      <c r="CE54" s="120"/>
      <c r="CF54" s="121"/>
      <c r="CG54" s="105"/>
      <c r="CH54" s="162"/>
      <c r="CI54" s="105"/>
      <c r="CJ54" s="105"/>
      <c r="CK54" s="120"/>
      <c r="CL54" s="121"/>
      <c r="CM54" s="105"/>
      <c r="CN54" s="107"/>
      <c r="CO54" s="107"/>
      <c r="CP54" s="105"/>
      <c r="CQ54" s="107"/>
      <c r="CR54" s="107"/>
      <c r="CS54" s="120"/>
      <c r="CT54" s="121"/>
      <c r="CU54" s="105"/>
      <c r="CV54" s="162"/>
      <c r="CW54" s="105"/>
      <c r="CX54" s="105"/>
      <c r="CY54" s="120"/>
      <c r="CZ54" s="121"/>
      <c r="DA54" s="105"/>
      <c r="DB54" s="107"/>
      <c r="DC54" s="107"/>
      <c r="DD54" s="105"/>
      <c r="DE54" s="107"/>
      <c r="DF54" s="107"/>
      <c r="DG54" s="120"/>
      <c r="DH54" s="121"/>
      <c r="DI54" s="105"/>
      <c r="DJ54" s="162"/>
      <c r="DK54" s="105"/>
      <c r="DL54" s="105"/>
      <c r="DM54" s="120"/>
      <c r="DN54" s="121"/>
      <c r="DO54" s="105"/>
      <c r="DP54" s="107"/>
      <c r="DQ54" s="107"/>
      <c r="DR54" s="105"/>
      <c r="DS54" s="107"/>
      <c r="DT54" s="107"/>
      <c r="DU54" s="120"/>
      <c r="DV54" s="121"/>
      <c r="DW54" s="105"/>
      <c r="DX54" s="162"/>
      <c r="DY54" s="105"/>
      <c r="DZ54" s="105"/>
      <c r="EA54" s="120"/>
      <c r="EB54" s="121"/>
      <c r="EC54" s="105"/>
      <c r="ED54" s="107"/>
      <c r="EE54" s="107"/>
      <c r="EF54" s="105"/>
      <c r="EG54" s="107"/>
      <c r="EH54" s="107"/>
      <c r="EI54" s="120"/>
      <c r="EJ54" s="121"/>
      <c r="EK54" s="105"/>
      <c r="EL54" s="162"/>
      <c r="EM54" s="72" t="s">
        <v>169</v>
      </c>
      <c r="EN54" s="74">
        <v>2560</v>
      </c>
      <c r="EO54" s="104"/>
      <c r="EP54" s="72" t="s">
        <v>77</v>
      </c>
      <c r="EY54" s="72" t="s">
        <v>98</v>
      </c>
      <c r="EZ54" s="72" t="s">
        <v>347</v>
      </c>
      <c r="FB54" s="78"/>
      <c r="FC54" s="78"/>
      <c r="FD54" s="162"/>
      <c r="FE54" s="78"/>
      <c r="FF54" s="78"/>
      <c r="FG54" s="78"/>
      <c r="FO54" s="162"/>
      <c r="FP54" s="78"/>
      <c r="FQ54" s="78"/>
      <c r="FR54" s="78"/>
    </row>
    <row r="55" spans="1:174" ht="15.95" customHeight="1" x14ac:dyDescent="0.25">
      <c r="A55" s="117"/>
      <c r="C55" s="118"/>
      <c r="D55" s="118"/>
      <c r="E55" s="162"/>
      <c r="F55" s="117" t="str">
        <f>mehrsprachigkeitBegriffsrückgabe(gewählteSpracheZurückgeben(), "Product (foreign language)")</f>
        <v>Produkt (Fremdsprache)</v>
      </c>
      <c r="G55" s="119"/>
      <c r="H55" s="119" t="s">
        <v>132</v>
      </c>
      <c r="I55" s="119" t="s">
        <v>102</v>
      </c>
      <c r="J55" s="119" t="s">
        <v>133</v>
      </c>
      <c r="K55" s="119"/>
      <c r="L55" s="162"/>
      <c r="M55" s="166"/>
      <c r="N55" s="119"/>
      <c r="O55" s="119"/>
      <c r="P55" s="119"/>
      <c r="Q55" s="119"/>
      <c r="R55" s="119"/>
      <c r="S55" s="119"/>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119"/>
      <c r="AT55" s="119"/>
      <c r="AU55" s="119"/>
      <c r="AV55" s="119"/>
      <c r="AW55" s="119"/>
      <c r="AX55" s="119"/>
      <c r="AY55" s="119"/>
      <c r="AZ55" s="119"/>
      <c r="BA55" s="162"/>
      <c r="BB55" s="104" t="s">
        <v>147</v>
      </c>
      <c r="BC55" s="72" t="s">
        <v>128</v>
      </c>
      <c r="BF55" s="162"/>
      <c r="BG55" s="120" t="s">
        <v>163</v>
      </c>
      <c r="BH55" s="107"/>
      <c r="BI55" s="162"/>
      <c r="BJ55" s="105"/>
      <c r="BK55" s="107"/>
      <c r="BL55" s="107"/>
      <c r="BM55" s="105"/>
      <c r="BN55" s="107"/>
      <c r="BO55" s="107"/>
      <c r="BP55" s="162"/>
      <c r="BQ55" s="120" t="s">
        <v>163</v>
      </c>
      <c r="BR55" s="130"/>
      <c r="BS55" s="105"/>
      <c r="BT55" s="162"/>
      <c r="BU55" s="105"/>
      <c r="BV55" s="105"/>
      <c r="BW55" s="120"/>
      <c r="BX55" s="130"/>
      <c r="BY55" s="105"/>
      <c r="BZ55" s="107"/>
      <c r="CA55" s="107"/>
      <c r="CB55" s="105"/>
      <c r="CC55" s="107"/>
      <c r="CD55" s="107"/>
      <c r="CE55" s="120"/>
      <c r="CF55" s="130"/>
      <c r="CG55" s="105"/>
      <c r="CH55" s="162"/>
      <c r="CI55" s="105"/>
      <c r="CJ55" s="105"/>
      <c r="CK55" s="120"/>
      <c r="CL55" s="130"/>
      <c r="CM55" s="105"/>
      <c r="CN55" s="107"/>
      <c r="CO55" s="107"/>
      <c r="CP55" s="105"/>
      <c r="CQ55" s="107"/>
      <c r="CR55" s="107"/>
      <c r="CS55" s="120"/>
      <c r="CT55" s="130"/>
      <c r="CU55" s="105"/>
      <c r="CV55" s="162"/>
      <c r="CW55" s="105"/>
      <c r="CX55" s="105"/>
      <c r="CY55" s="120"/>
      <c r="CZ55" s="130"/>
      <c r="DA55" s="105"/>
      <c r="DB55" s="107"/>
      <c r="DC55" s="107"/>
      <c r="DD55" s="105"/>
      <c r="DE55" s="107"/>
      <c r="DF55" s="107"/>
      <c r="DG55" s="120"/>
      <c r="DH55" s="130"/>
      <c r="DI55" s="105"/>
      <c r="DJ55" s="162"/>
      <c r="DK55" s="105"/>
      <c r="DL55" s="105"/>
      <c r="DM55" s="120"/>
      <c r="DN55" s="130"/>
      <c r="DO55" s="105"/>
      <c r="DP55" s="107"/>
      <c r="DQ55" s="107"/>
      <c r="DR55" s="105"/>
      <c r="DS55" s="107"/>
      <c r="DT55" s="107"/>
      <c r="DU55" s="120"/>
      <c r="DV55" s="130"/>
      <c r="DW55" s="105"/>
      <c r="DX55" s="162"/>
      <c r="DY55" s="105"/>
      <c r="DZ55" s="105"/>
      <c r="EA55" s="120"/>
      <c r="EB55" s="130"/>
      <c r="EC55" s="105"/>
      <c r="ED55" s="107"/>
      <c r="EE55" s="107"/>
      <c r="EF55" s="105"/>
      <c r="EG55" s="107"/>
      <c r="EH55" s="107"/>
      <c r="EI55" s="120"/>
      <c r="EJ55" s="130"/>
      <c r="EK55" s="105"/>
      <c r="EL55" s="162"/>
      <c r="EO55" s="125"/>
      <c r="EP55" s="72" t="s">
        <v>104</v>
      </c>
      <c r="FB55" s="78"/>
      <c r="FC55" s="78"/>
      <c r="FD55" s="162"/>
      <c r="FE55" s="78"/>
      <c r="FF55" s="78"/>
      <c r="FG55" s="78"/>
      <c r="FO55" s="162"/>
      <c r="FP55" s="78"/>
      <c r="FQ55" s="78"/>
      <c r="FR55" s="78"/>
    </row>
    <row r="56" spans="1:174" ht="15.95" customHeight="1" x14ac:dyDescent="0.25">
      <c r="A56" s="117">
        <v>1</v>
      </c>
      <c r="C56" s="118"/>
      <c r="D56" s="118">
        <v>1</v>
      </c>
      <c r="E56" s="162"/>
      <c r="F56" s="117" t="str">
        <f>mehrsprachigkeitBegriffsrückgabe(gewählteSpracheZurückgeben(), "Variant")</f>
        <v>Variante</v>
      </c>
      <c r="G56" s="119" t="s">
        <v>135</v>
      </c>
      <c r="H56" s="119" t="s">
        <v>132</v>
      </c>
      <c r="I56" s="119" t="s">
        <v>87</v>
      </c>
      <c r="J56" s="72" t="s">
        <v>350</v>
      </c>
      <c r="K56" s="119"/>
      <c r="L56" s="162"/>
      <c r="M56" s="166" t="s">
        <v>342</v>
      </c>
      <c r="N56" s="119" t="s">
        <v>163</v>
      </c>
      <c r="O56" s="128" t="s">
        <v>343</v>
      </c>
      <c r="P56" s="128" t="s">
        <v>163</v>
      </c>
      <c r="Q56" s="119"/>
      <c r="R56" s="119"/>
      <c r="S56" s="119"/>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119"/>
      <c r="AT56" s="119"/>
      <c r="AU56" s="119"/>
      <c r="AV56" s="119"/>
      <c r="AW56" s="119"/>
      <c r="AX56" s="119"/>
      <c r="AY56" s="119"/>
      <c r="AZ56" s="119"/>
      <c r="BA56" s="162"/>
      <c r="BB56" s="121" t="s">
        <v>146</v>
      </c>
      <c r="BC56" s="123" t="s">
        <v>120</v>
      </c>
      <c r="BF56" s="162"/>
      <c r="BG56" s="120">
        <v>158.82</v>
      </c>
      <c r="BH56" s="107" t="str">
        <f>mehrsprachigkeitBegriffsrückgabe(gewählteSpracheZurückgeben(), "Independent price")</f>
        <v>Eigenständiger Preis</v>
      </c>
      <c r="BI56" s="162"/>
      <c r="BJ56" s="105">
        <v>1</v>
      </c>
      <c r="BK56" s="121" t="str">
        <f>mehrsprachigkeitBegriffsrückgabe(gewählteSpracheZurückgeben(), "Fixed scale price")</f>
        <v>Feste Preisangabe</v>
      </c>
      <c r="BL56" s="121" t="str">
        <f>mehrsprachigkeitBegriffsrückgabe(gewählteSpracheZurückgeben(), "Separated by products, variants and configurations")</f>
        <v>Produkte, Varianten und Konfigurationen getrennt</v>
      </c>
      <c r="BM56" s="105">
        <v>1</v>
      </c>
      <c r="BN56" s="107"/>
      <c r="BO56" s="107" t="s">
        <v>221</v>
      </c>
      <c r="BP56" s="162"/>
      <c r="BQ56" s="120" t="s">
        <v>163</v>
      </c>
      <c r="BR56" s="107" t="str">
        <f>mehrsprachigkeitBegriffsrückgabe(gewählteSpracheZurückgeben(), "Independent price")</f>
        <v>Eigenständiger Preis</v>
      </c>
      <c r="BS56" s="105"/>
      <c r="BT56" s="162"/>
      <c r="BU56" s="105"/>
      <c r="BV56" s="105"/>
      <c r="BW56" s="120"/>
      <c r="BX56" s="107"/>
      <c r="BY56" s="105"/>
      <c r="BZ56" s="121"/>
      <c r="CA56" s="121"/>
      <c r="CB56" s="105"/>
      <c r="CC56" s="107"/>
      <c r="CD56" s="107"/>
      <c r="CE56" s="120"/>
      <c r="CF56" s="107"/>
      <c r="CG56" s="105"/>
      <c r="CH56" s="162"/>
      <c r="CI56" s="105"/>
      <c r="CJ56" s="105"/>
      <c r="CK56" s="120"/>
      <c r="CL56" s="107"/>
      <c r="CM56" s="105"/>
      <c r="CN56" s="121"/>
      <c r="CO56" s="121"/>
      <c r="CP56" s="105"/>
      <c r="CQ56" s="107"/>
      <c r="CR56" s="107"/>
      <c r="CS56" s="120"/>
      <c r="CT56" s="107"/>
      <c r="CU56" s="105"/>
      <c r="CV56" s="162"/>
      <c r="CW56" s="105"/>
      <c r="CX56" s="105"/>
      <c r="CY56" s="120"/>
      <c r="CZ56" s="107"/>
      <c r="DA56" s="105"/>
      <c r="DB56" s="121"/>
      <c r="DC56" s="121"/>
      <c r="DD56" s="105"/>
      <c r="DE56" s="107"/>
      <c r="DF56" s="107"/>
      <c r="DG56" s="120"/>
      <c r="DH56" s="107"/>
      <c r="DI56" s="105"/>
      <c r="DJ56" s="162"/>
      <c r="DK56" s="105"/>
      <c r="DL56" s="105"/>
      <c r="DM56" s="120"/>
      <c r="DN56" s="107"/>
      <c r="DO56" s="105"/>
      <c r="DP56" s="121"/>
      <c r="DQ56" s="121"/>
      <c r="DR56" s="105"/>
      <c r="DS56" s="107"/>
      <c r="DT56" s="107"/>
      <c r="DU56" s="120"/>
      <c r="DV56" s="107"/>
      <c r="DW56" s="105"/>
      <c r="DX56" s="162"/>
      <c r="DY56" s="105"/>
      <c r="DZ56" s="105"/>
      <c r="EA56" s="120"/>
      <c r="EB56" s="107"/>
      <c r="EC56" s="105"/>
      <c r="ED56" s="121"/>
      <c r="EE56" s="121"/>
      <c r="EF56" s="105"/>
      <c r="EG56" s="107"/>
      <c r="EH56" s="107"/>
      <c r="EI56" s="120">
        <v>10</v>
      </c>
      <c r="EJ56" s="107" t="str">
        <f>mehrsprachigkeitBegriffsrückgabe(gewählteSpracheZurückgeben(), "Percent")</f>
        <v>Prozentuale Anpassung</v>
      </c>
      <c r="EK56" s="105">
        <v>1</v>
      </c>
      <c r="EL56" s="162"/>
      <c r="EN56" s="74">
        <v>2560</v>
      </c>
      <c r="EO56" s="125" t="str">
        <f>mehrsprachigkeitBegriffsrückgabe(gewählteSpracheZurückgeben(), "Independent weight")</f>
        <v>Eigenständiges Gewicht</v>
      </c>
      <c r="EY56" s="72" t="s">
        <v>112</v>
      </c>
      <c r="EZ56" s="72" t="s">
        <v>349</v>
      </c>
      <c r="FB56" s="78"/>
      <c r="FC56" s="78"/>
      <c r="FD56" s="162"/>
      <c r="FE56" s="78"/>
      <c r="FF56" s="78"/>
      <c r="FG56" s="78"/>
      <c r="FO56" s="162"/>
      <c r="FP56" s="78"/>
      <c r="FQ56" s="78"/>
      <c r="FR56" s="78"/>
    </row>
    <row r="57" spans="1:174" ht="15.95" customHeight="1" x14ac:dyDescent="0.25">
      <c r="A57" s="117"/>
      <c r="C57" s="118"/>
      <c r="D57" s="118"/>
      <c r="E57" s="162"/>
      <c r="F57" s="117" t="str">
        <f>mehrsprachigkeitBegriffsrückgabe(gewählteSpracheZurückgeben(), "Variant (foreign language)")</f>
        <v>Variante (Fremdsprache)</v>
      </c>
      <c r="G57" s="119"/>
      <c r="H57" s="119" t="s">
        <v>135</v>
      </c>
      <c r="I57" s="119" t="s">
        <v>102</v>
      </c>
      <c r="J57" s="72" t="s">
        <v>119</v>
      </c>
      <c r="K57" s="128"/>
      <c r="L57" s="162"/>
      <c r="M57" s="169"/>
      <c r="N57" s="128" t="s">
        <v>163</v>
      </c>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62"/>
      <c r="BB57" s="121" t="s">
        <v>147</v>
      </c>
      <c r="BC57" s="123" t="s">
        <v>128</v>
      </c>
      <c r="BF57" s="162"/>
      <c r="BG57" s="120" t="s">
        <v>163</v>
      </c>
      <c r="BH57" s="107"/>
      <c r="BI57" s="162"/>
      <c r="BJ57" s="105"/>
      <c r="BK57" s="121"/>
      <c r="BL57" s="121"/>
      <c r="BM57" s="105"/>
      <c r="BN57" s="107"/>
      <c r="BO57" s="107"/>
      <c r="BP57" s="162"/>
      <c r="BQ57" s="120" t="s">
        <v>163</v>
      </c>
      <c r="BR57" s="107"/>
      <c r="BS57" s="105"/>
      <c r="BT57" s="162"/>
      <c r="BU57" s="105"/>
      <c r="BV57" s="105"/>
      <c r="BW57" s="120"/>
      <c r="BX57" s="107"/>
      <c r="BY57" s="105"/>
      <c r="BZ57" s="121"/>
      <c r="CA57" s="121"/>
      <c r="CB57" s="105"/>
      <c r="CC57" s="107"/>
      <c r="CD57" s="107"/>
      <c r="CE57" s="120"/>
      <c r="CF57" s="107"/>
      <c r="CG57" s="105"/>
      <c r="CH57" s="162"/>
      <c r="CI57" s="105"/>
      <c r="CJ57" s="105"/>
      <c r="CK57" s="120"/>
      <c r="CL57" s="107"/>
      <c r="CM57" s="105"/>
      <c r="CN57" s="121"/>
      <c r="CO57" s="121"/>
      <c r="CP57" s="105"/>
      <c r="CQ57" s="107"/>
      <c r="CR57" s="107"/>
      <c r="CS57" s="120"/>
      <c r="CT57" s="107"/>
      <c r="CU57" s="105"/>
      <c r="CV57" s="162"/>
      <c r="CW57" s="105"/>
      <c r="CX57" s="105"/>
      <c r="CY57" s="120"/>
      <c r="CZ57" s="107"/>
      <c r="DA57" s="105"/>
      <c r="DB57" s="121"/>
      <c r="DC57" s="121"/>
      <c r="DD57" s="105"/>
      <c r="DE57" s="107"/>
      <c r="DF57" s="107"/>
      <c r="DG57" s="120"/>
      <c r="DH57" s="107"/>
      <c r="DI57" s="105"/>
      <c r="DJ57" s="162"/>
      <c r="DK57" s="105"/>
      <c r="DL57" s="105"/>
      <c r="DM57" s="120"/>
      <c r="DN57" s="107"/>
      <c r="DO57" s="105"/>
      <c r="DP57" s="121"/>
      <c r="DQ57" s="121"/>
      <c r="DR57" s="105"/>
      <c r="DS57" s="107"/>
      <c r="DT57" s="107"/>
      <c r="DU57" s="120"/>
      <c r="DV57" s="107"/>
      <c r="DW57" s="105"/>
      <c r="DX57" s="162"/>
      <c r="DY57" s="105"/>
      <c r="DZ57" s="105"/>
      <c r="EA57" s="120"/>
      <c r="EB57" s="107"/>
      <c r="EC57" s="105"/>
      <c r="ED57" s="121"/>
      <c r="EE57" s="121"/>
      <c r="EF57" s="105"/>
      <c r="EG57" s="107"/>
      <c r="EH57" s="107"/>
      <c r="EI57" s="120"/>
      <c r="EJ57" s="107"/>
      <c r="EK57" s="105"/>
      <c r="EL57" s="162"/>
      <c r="EO57" s="125"/>
      <c r="FB57" s="78"/>
      <c r="FC57" s="78"/>
      <c r="FD57" s="162"/>
      <c r="FE57" s="78"/>
      <c r="FF57" s="78"/>
      <c r="FG57" s="78"/>
      <c r="FO57" s="162"/>
      <c r="FP57" s="78"/>
      <c r="FQ57" s="78"/>
      <c r="FR57" s="78"/>
    </row>
    <row r="58" spans="1:174" ht="15.95" customHeight="1" x14ac:dyDescent="0.25">
      <c r="A58" s="117">
        <v>2</v>
      </c>
      <c r="C58" s="118"/>
      <c r="D58" s="118">
        <v>1</v>
      </c>
      <c r="E58" s="162"/>
      <c r="F58" s="117" t="str">
        <f>mehrsprachigkeitBegriffsrückgabe(gewählteSpracheZurückgeben(), "Variant")</f>
        <v>Variante</v>
      </c>
      <c r="G58" s="119" t="s">
        <v>136</v>
      </c>
      <c r="H58" s="119" t="s">
        <v>132</v>
      </c>
      <c r="I58" s="119" t="s">
        <v>87</v>
      </c>
      <c r="J58" s="72" t="s">
        <v>95</v>
      </c>
      <c r="K58" s="119"/>
      <c r="L58" s="162"/>
      <c r="M58" s="166" t="s">
        <v>342</v>
      </c>
      <c r="N58" s="119" t="s">
        <v>163</v>
      </c>
      <c r="O58" s="128" t="s">
        <v>343</v>
      </c>
      <c r="P58" s="128" t="s">
        <v>163</v>
      </c>
      <c r="Q58" s="119"/>
      <c r="R58" s="119"/>
      <c r="S58" s="119"/>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119"/>
      <c r="AT58" s="119"/>
      <c r="AU58" s="119"/>
      <c r="AV58" s="119"/>
      <c r="AW58" s="119"/>
      <c r="AX58" s="119"/>
      <c r="AY58" s="119"/>
      <c r="AZ58" s="119"/>
      <c r="BA58" s="162"/>
      <c r="BB58" s="121" t="s">
        <v>146</v>
      </c>
      <c r="BC58" s="123" t="s">
        <v>120</v>
      </c>
      <c r="BF58" s="162"/>
      <c r="BG58" s="120">
        <v>184.03</v>
      </c>
      <c r="BH58" s="107" t="str">
        <f>mehrsprachigkeitBegriffsrückgabe(gewählteSpracheZurückgeben(), "Independent price")</f>
        <v>Eigenständiger Preis</v>
      </c>
      <c r="BI58" s="162"/>
      <c r="BJ58" s="105">
        <v>1</v>
      </c>
      <c r="BK58" s="121" t="str">
        <f>mehrsprachigkeitBegriffsrückgabe(gewählteSpracheZurückgeben(), "Fixed scale price")</f>
        <v>Feste Preisangabe</v>
      </c>
      <c r="BL58" s="121" t="str">
        <f>mehrsprachigkeitBegriffsrückgabe(gewählteSpracheZurückgeben(), "Separated by products, variants and configurations")</f>
        <v>Produkte, Varianten und Konfigurationen getrennt</v>
      </c>
      <c r="BM58" s="105">
        <v>1</v>
      </c>
      <c r="BN58" s="107"/>
      <c r="BO58" s="107" t="s">
        <v>227</v>
      </c>
      <c r="BP58" s="162"/>
      <c r="BQ58" s="120" t="s">
        <v>163</v>
      </c>
      <c r="BR58" s="107" t="str">
        <f>mehrsprachigkeitBegriffsrückgabe(gewählteSpracheZurückgeben(), "Independent price")</f>
        <v>Eigenständiger Preis</v>
      </c>
      <c r="BS58" s="105"/>
      <c r="BT58" s="162"/>
      <c r="BU58" s="105"/>
      <c r="BV58" s="105"/>
      <c r="BW58" s="120"/>
      <c r="BX58" s="107"/>
      <c r="BY58" s="105"/>
      <c r="BZ58" s="121"/>
      <c r="CA58" s="121"/>
      <c r="CB58" s="105"/>
      <c r="CC58" s="107"/>
      <c r="CD58" s="107"/>
      <c r="CE58" s="120"/>
      <c r="CF58" s="107"/>
      <c r="CG58" s="105"/>
      <c r="CH58" s="162"/>
      <c r="CI58" s="105"/>
      <c r="CJ58" s="105"/>
      <c r="CK58" s="120"/>
      <c r="CL58" s="107"/>
      <c r="CM58" s="105"/>
      <c r="CN58" s="121"/>
      <c r="CO58" s="121"/>
      <c r="CP58" s="105"/>
      <c r="CQ58" s="107"/>
      <c r="CR58" s="107"/>
      <c r="CS58" s="120"/>
      <c r="CT58" s="107"/>
      <c r="CU58" s="105"/>
      <c r="CV58" s="162"/>
      <c r="CW58" s="105"/>
      <c r="CX58" s="105"/>
      <c r="CY58" s="120"/>
      <c r="CZ58" s="107"/>
      <c r="DA58" s="105"/>
      <c r="DB58" s="121"/>
      <c r="DC58" s="121"/>
      <c r="DD58" s="105"/>
      <c r="DE58" s="107"/>
      <c r="DF58" s="107"/>
      <c r="DG58" s="120"/>
      <c r="DH58" s="107"/>
      <c r="DI58" s="105"/>
      <c r="DJ58" s="162"/>
      <c r="DK58" s="105"/>
      <c r="DL58" s="105"/>
      <c r="DM58" s="120"/>
      <c r="DN58" s="107"/>
      <c r="DO58" s="105"/>
      <c r="DP58" s="121"/>
      <c r="DQ58" s="121"/>
      <c r="DR58" s="105"/>
      <c r="DS58" s="107"/>
      <c r="DT58" s="107"/>
      <c r="DU58" s="120"/>
      <c r="DV58" s="107"/>
      <c r="DW58" s="105"/>
      <c r="DX58" s="162"/>
      <c r="DY58" s="105"/>
      <c r="DZ58" s="105"/>
      <c r="EA58" s="120"/>
      <c r="EB58" s="107"/>
      <c r="EC58" s="105"/>
      <c r="ED58" s="121"/>
      <c r="EE58" s="121"/>
      <c r="EF58" s="105"/>
      <c r="EG58" s="107"/>
      <c r="EH58" s="107"/>
      <c r="EI58" s="120"/>
      <c r="EJ58" s="107"/>
      <c r="EK58" s="105"/>
      <c r="EL58" s="162"/>
      <c r="EN58" s="74">
        <v>2560</v>
      </c>
      <c r="EO58" s="125" t="str">
        <f>mehrsprachigkeitBegriffsrückgabe(gewählteSpracheZurückgeben(), "Independent weight")</f>
        <v>Eigenständiges Gewicht</v>
      </c>
      <c r="EY58" s="72" t="s">
        <v>137</v>
      </c>
      <c r="EZ58" s="72" t="s">
        <v>349</v>
      </c>
      <c r="FB58" s="78"/>
      <c r="FC58" s="78"/>
      <c r="FD58" s="162"/>
      <c r="FE58" s="78"/>
      <c r="FF58" s="78"/>
      <c r="FG58" s="78"/>
      <c r="FO58" s="162"/>
      <c r="FP58" s="78"/>
      <c r="FQ58" s="78"/>
      <c r="FR58" s="78"/>
    </row>
    <row r="59" spans="1:174" ht="15.95" customHeight="1" x14ac:dyDescent="0.25">
      <c r="A59" s="117"/>
      <c r="C59" s="118"/>
      <c r="D59" s="118"/>
      <c r="E59" s="162"/>
      <c r="F59" s="117" t="str">
        <f>mehrsprachigkeitBegriffsrückgabe(gewählteSpracheZurückgeben(), "Variant (foreign language)")</f>
        <v>Variante (Fremdsprache)</v>
      </c>
      <c r="G59" s="119"/>
      <c r="H59" s="119" t="s">
        <v>136</v>
      </c>
      <c r="I59" s="128" t="s">
        <v>102</v>
      </c>
      <c r="J59" s="72" t="s">
        <v>121</v>
      </c>
      <c r="K59" s="128"/>
      <c r="L59" s="162"/>
      <c r="M59" s="169"/>
      <c r="N59" s="128" t="s">
        <v>163</v>
      </c>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62"/>
      <c r="BB59" s="121" t="s">
        <v>147</v>
      </c>
      <c r="BC59" s="123" t="s">
        <v>128</v>
      </c>
      <c r="BF59" s="162"/>
      <c r="BG59" s="120" t="s">
        <v>163</v>
      </c>
      <c r="BH59" s="107"/>
      <c r="BI59" s="162"/>
      <c r="BJ59" s="105"/>
      <c r="BK59" s="121"/>
      <c r="BL59" s="121"/>
      <c r="BM59" s="105"/>
      <c r="BN59" s="107"/>
      <c r="BO59" s="107"/>
      <c r="BP59" s="162"/>
      <c r="BQ59" s="120" t="s">
        <v>163</v>
      </c>
      <c r="BR59" s="107"/>
      <c r="BS59" s="105"/>
      <c r="BT59" s="162"/>
      <c r="BU59" s="105"/>
      <c r="BV59" s="105"/>
      <c r="BW59" s="120"/>
      <c r="BX59" s="107"/>
      <c r="BY59" s="105"/>
      <c r="BZ59" s="121"/>
      <c r="CA59" s="121"/>
      <c r="CB59" s="105"/>
      <c r="CC59" s="107"/>
      <c r="CD59" s="107"/>
      <c r="CE59" s="120"/>
      <c r="CF59" s="107"/>
      <c r="CG59" s="105"/>
      <c r="CH59" s="162"/>
      <c r="CI59" s="105"/>
      <c r="CJ59" s="105"/>
      <c r="CK59" s="120"/>
      <c r="CL59" s="107"/>
      <c r="CM59" s="105"/>
      <c r="CN59" s="121"/>
      <c r="CO59" s="121"/>
      <c r="CP59" s="105"/>
      <c r="CQ59" s="107"/>
      <c r="CR59" s="107"/>
      <c r="CS59" s="120"/>
      <c r="CT59" s="107"/>
      <c r="CU59" s="105"/>
      <c r="CV59" s="162"/>
      <c r="CW59" s="105"/>
      <c r="CX59" s="105"/>
      <c r="CY59" s="120"/>
      <c r="CZ59" s="107"/>
      <c r="DA59" s="105"/>
      <c r="DB59" s="121"/>
      <c r="DC59" s="121"/>
      <c r="DD59" s="105"/>
      <c r="DE59" s="107"/>
      <c r="DF59" s="107"/>
      <c r="DG59" s="120"/>
      <c r="DH59" s="107"/>
      <c r="DI59" s="105"/>
      <c r="DJ59" s="162"/>
      <c r="DK59" s="105"/>
      <c r="DL59" s="105"/>
      <c r="DM59" s="120"/>
      <c r="DN59" s="107"/>
      <c r="DO59" s="105"/>
      <c r="DP59" s="121"/>
      <c r="DQ59" s="121"/>
      <c r="DR59" s="105"/>
      <c r="DS59" s="107"/>
      <c r="DT59" s="107"/>
      <c r="DU59" s="120"/>
      <c r="DV59" s="107"/>
      <c r="DW59" s="105"/>
      <c r="DX59" s="162"/>
      <c r="DY59" s="105"/>
      <c r="DZ59" s="105"/>
      <c r="EA59" s="120"/>
      <c r="EB59" s="107"/>
      <c r="EC59" s="105"/>
      <c r="ED59" s="121"/>
      <c r="EE59" s="121"/>
      <c r="EF59" s="105"/>
      <c r="EG59" s="107"/>
      <c r="EH59" s="107"/>
      <c r="EI59" s="120"/>
      <c r="EJ59" s="107"/>
      <c r="EK59" s="105"/>
      <c r="EL59" s="162"/>
      <c r="EO59" s="125"/>
      <c r="FB59" s="78"/>
      <c r="FC59" s="78"/>
      <c r="FD59" s="162"/>
      <c r="FE59" s="78"/>
      <c r="FF59" s="78"/>
      <c r="FG59" s="78"/>
      <c r="FO59" s="162"/>
      <c r="FP59" s="78"/>
      <c r="FQ59" s="78"/>
      <c r="FR59" s="78"/>
    </row>
    <row r="60" spans="1:174" ht="15.95" customHeight="1" x14ac:dyDescent="0.25">
      <c r="A60" s="117">
        <v>3</v>
      </c>
      <c r="C60" s="118"/>
      <c r="D60" s="118">
        <v>1</v>
      </c>
      <c r="E60" s="162"/>
      <c r="F60" s="117" t="str">
        <f>mehrsprachigkeitBegriffsrückgabe(gewählteSpracheZurückgeben(), "Variant")</f>
        <v>Variante</v>
      </c>
      <c r="G60" s="119" t="s">
        <v>138</v>
      </c>
      <c r="H60" s="119" t="s">
        <v>132</v>
      </c>
      <c r="I60" s="119" t="s">
        <v>87</v>
      </c>
      <c r="J60" s="72" t="s">
        <v>168</v>
      </c>
      <c r="K60" s="119"/>
      <c r="L60" s="162"/>
      <c r="M60" s="166" t="s">
        <v>342</v>
      </c>
      <c r="N60" s="119" t="s">
        <v>163</v>
      </c>
      <c r="O60" s="128" t="s">
        <v>343</v>
      </c>
      <c r="P60" s="128" t="s">
        <v>163</v>
      </c>
      <c r="Q60" s="119"/>
      <c r="R60" s="119"/>
      <c r="S60" s="119"/>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119"/>
      <c r="AT60" s="119"/>
      <c r="AU60" s="119"/>
      <c r="AV60" s="119"/>
      <c r="AW60" s="119"/>
      <c r="AX60" s="119"/>
      <c r="AY60" s="119"/>
      <c r="AZ60" s="119"/>
      <c r="BA60" s="162"/>
      <c r="BB60" s="121" t="s">
        <v>146</v>
      </c>
      <c r="BC60" s="123" t="s">
        <v>120</v>
      </c>
      <c r="BF60" s="162"/>
      <c r="BG60" s="120">
        <v>142.02000000000001</v>
      </c>
      <c r="BH60" s="107" t="str">
        <f>mehrsprachigkeitBegriffsrückgabe(gewählteSpracheZurückgeben(), "Independent price")</f>
        <v>Eigenständiger Preis</v>
      </c>
      <c r="BI60" s="162"/>
      <c r="BJ60" s="105">
        <v>1</v>
      </c>
      <c r="BK60" s="121" t="str">
        <f>mehrsprachigkeitBegriffsrückgabe(gewählteSpracheZurückgeben(), "Fixed scale price")</f>
        <v>Feste Preisangabe</v>
      </c>
      <c r="BL60" s="121" t="str">
        <f>mehrsprachigkeitBegriffsrückgabe(gewählteSpracheZurückgeben(), "Separated by products, variants and configurations")</f>
        <v>Produkte, Varianten und Konfigurationen getrennt</v>
      </c>
      <c r="BM60" s="105">
        <v>1</v>
      </c>
      <c r="BN60" s="107"/>
      <c r="BO60" s="107" t="s">
        <v>234</v>
      </c>
      <c r="BP60" s="162"/>
      <c r="BQ60" s="120" t="s">
        <v>163</v>
      </c>
      <c r="BR60" s="107" t="str">
        <f>mehrsprachigkeitBegriffsrückgabe(gewählteSpracheZurückgeben(), "Independent price")</f>
        <v>Eigenständiger Preis</v>
      </c>
      <c r="BS60" s="105"/>
      <c r="BT60" s="162"/>
      <c r="BU60" s="105"/>
      <c r="BV60" s="105"/>
      <c r="BW60" s="120"/>
      <c r="BX60" s="107"/>
      <c r="BY60" s="105"/>
      <c r="BZ60" s="121"/>
      <c r="CA60" s="121"/>
      <c r="CB60" s="105"/>
      <c r="CC60" s="107"/>
      <c r="CD60" s="107"/>
      <c r="CE60" s="120"/>
      <c r="CF60" s="107"/>
      <c r="CG60" s="105"/>
      <c r="CH60" s="162"/>
      <c r="CI60" s="105"/>
      <c r="CJ60" s="105"/>
      <c r="CK60" s="120"/>
      <c r="CL60" s="107"/>
      <c r="CM60" s="105"/>
      <c r="CN60" s="121"/>
      <c r="CO60" s="121"/>
      <c r="CP60" s="105"/>
      <c r="CQ60" s="107"/>
      <c r="CR60" s="107"/>
      <c r="CS60" s="120"/>
      <c r="CT60" s="107"/>
      <c r="CU60" s="105"/>
      <c r="CV60" s="162"/>
      <c r="CW60" s="105"/>
      <c r="CX60" s="105"/>
      <c r="CY60" s="120"/>
      <c r="CZ60" s="107"/>
      <c r="DA60" s="105"/>
      <c r="DB60" s="121"/>
      <c r="DC60" s="121"/>
      <c r="DD60" s="105"/>
      <c r="DE60" s="107"/>
      <c r="DF60" s="107"/>
      <c r="DG60" s="120"/>
      <c r="DH60" s="107"/>
      <c r="DI60" s="105"/>
      <c r="DJ60" s="162"/>
      <c r="DK60" s="105"/>
      <c r="DL60" s="105"/>
      <c r="DM60" s="120"/>
      <c r="DN60" s="107"/>
      <c r="DO60" s="105"/>
      <c r="DP60" s="121"/>
      <c r="DQ60" s="121"/>
      <c r="DR60" s="105"/>
      <c r="DS60" s="107"/>
      <c r="DT60" s="107"/>
      <c r="DU60" s="120"/>
      <c r="DV60" s="107"/>
      <c r="DW60" s="105"/>
      <c r="DX60" s="162"/>
      <c r="DY60" s="105"/>
      <c r="DZ60" s="105"/>
      <c r="EA60" s="120"/>
      <c r="EB60" s="107"/>
      <c r="EC60" s="105"/>
      <c r="ED60" s="121"/>
      <c r="EE60" s="121"/>
      <c r="EF60" s="105"/>
      <c r="EG60" s="107"/>
      <c r="EH60" s="107"/>
      <c r="EI60" s="120"/>
      <c r="EJ60" s="107"/>
      <c r="EK60" s="105"/>
      <c r="EL60" s="162"/>
      <c r="EN60" s="74">
        <v>2560</v>
      </c>
      <c r="EO60" s="125" t="str">
        <f>mehrsprachigkeitBegriffsrückgabe(gewählteSpracheZurückgeben(), "Independent weight")</f>
        <v>Eigenständiges Gewicht</v>
      </c>
      <c r="EY60" s="72" t="s">
        <v>139</v>
      </c>
      <c r="EZ60" s="72" t="s">
        <v>349</v>
      </c>
      <c r="FB60" s="78"/>
      <c r="FC60" s="78"/>
      <c r="FD60" s="162"/>
      <c r="FE60" s="78"/>
      <c r="FF60" s="78"/>
      <c r="FG60" s="78"/>
      <c r="FO60" s="162"/>
      <c r="FP60" s="78"/>
      <c r="FQ60" s="78"/>
      <c r="FR60" s="78"/>
    </row>
    <row r="61" spans="1:174" ht="15.95" customHeight="1" x14ac:dyDescent="0.25">
      <c r="A61" s="117"/>
      <c r="C61" s="118"/>
      <c r="D61" s="118"/>
      <c r="E61" s="162"/>
      <c r="F61" s="117" t="str">
        <f>mehrsprachigkeitBegriffsrückgabe(gewählteSpracheZurückgeben(), "Variant (foreign language)")</f>
        <v>Variante (Fremdsprache)</v>
      </c>
      <c r="G61" s="119"/>
      <c r="H61" s="119" t="s">
        <v>138</v>
      </c>
      <c r="I61" s="128" t="s">
        <v>102</v>
      </c>
      <c r="J61" s="72" t="s">
        <v>122</v>
      </c>
      <c r="K61" s="128"/>
      <c r="L61" s="162"/>
      <c r="M61" s="169"/>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62"/>
      <c r="BB61" s="121" t="s">
        <v>147</v>
      </c>
      <c r="BC61" s="123" t="s">
        <v>128</v>
      </c>
      <c r="BF61" s="162"/>
      <c r="BG61" s="120" t="s">
        <v>163</v>
      </c>
      <c r="BH61" s="107"/>
      <c r="BI61" s="162"/>
      <c r="BJ61" s="105"/>
      <c r="BK61" s="121"/>
      <c r="BL61" s="121"/>
      <c r="BM61" s="105"/>
      <c r="BN61" s="107"/>
      <c r="BO61" s="107"/>
      <c r="BP61" s="162"/>
      <c r="BQ61" s="120" t="s">
        <v>163</v>
      </c>
      <c r="BR61" s="107"/>
      <c r="BS61" s="105"/>
      <c r="BT61" s="162"/>
      <c r="BU61" s="105"/>
      <c r="BV61" s="105"/>
      <c r="BW61" s="120"/>
      <c r="BX61" s="107"/>
      <c r="BY61" s="105"/>
      <c r="BZ61" s="121"/>
      <c r="CA61" s="121"/>
      <c r="CB61" s="105"/>
      <c r="CC61" s="107"/>
      <c r="CD61" s="107"/>
      <c r="CE61" s="120"/>
      <c r="CF61" s="107"/>
      <c r="CG61" s="105"/>
      <c r="CH61" s="162"/>
      <c r="CI61" s="105"/>
      <c r="CJ61" s="105"/>
      <c r="CK61" s="120"/>
      <c r="CL61" s="107"/>
      <c r="CM61" s="105"/>
      <c r="CN61" s="121"/>
      <c r="CO61" s="121"/>
      <c r="CP61" s="105"/>
      <c r="CQ61" s="107"/>
      <c r="CR61" s="107"/>
      <c r="CS61" s="120"/>
      <c r="CT61" s="107"/>
      <c r="CU61" s="105"/>
      <c r="CV61" s="162"/>
      <c r="CW61" s="105"/>
      <c r="CX61" s="105"/>
      <c r="CY61" s="120"/>
      <c r="CZ61" s="107"/>
      <c r="DA61" s="105"/>
      <c r="DB61" s="121"/>
      <c r="DC61" s="121"/>
      <c r="DD61" s="105"/>
      <c r="DE61" s="107"/>
      <c r="DF61" s="107"/>
      <c r="DG61" s="120"/>
      <c r="DH61" s="107"/>
      <c r="DI61" s="105"/>
      <c r="DJ61" s="162"/>
      <c r="DK61" s="105"/>
      <c r="DL61" s="105"/>
      <c r="DM61" s="120"/>
      <c r="DN61" s="107"/>
      <c r="DO61" s="105"/>
      <c r="DP61" s="121"/>
      <c r="DQ61" s="121"/>
      <c r="DR61" s="105"/>
      <c r="DS61" s="107"/>
      <c r="DT61" s="107"/>
      <c r="DU61" s="120"/>
      <c r="DV61" s="107"/>
      <c r="DW61" s="105"/>
      <c r="DX61" s="162"/>
      <c r="DY61" s="105"/>
      <c r="DZ61" s="105"/>
      <c r="EA61" s="120"/>
      <c r="EB61" s="107"/>
      <c r="EC61" s="105"/>
      <c r="ED61" s="121"/>
      <c r="EE61" s="121"/>
      <c r="EF61" s="105"/>
      <c r="EG61" s="107"/>
      <c r="EH61" s="107"/>
      <c r="EI61" s="120"/>
      <c r="EJ61" s="107"/>
      <c r="EK61" s="105"/>
      <c r="EL61" s="162"/>
      <c r="EO61" s="125"/>
      <c r="FB61" s="78"/>
      <c r="FC61" s="78"/>
      <c r="FD61" s="162"/>
      <c r="FE61" s="78"/>
      <c r="FF61" s="78"/>
      <c r="FG61" s="78"/>
      <c r="FO61" s="162"/>
      <c r="FP61" s="78"/>
      <c r="FQ61" s="78"/>
      <c r="FR61" s="78"/>
    </row>
    <row r="62" spans="1:174" ht="15.95" customHeight="1" x14ac:dyDescent="0.25">
      <c r="D62" s="70">
        <v>1</v>
      </c>
      <c r="E62" s="162"/>
      <c r="F62" s="71" t="str">
        <f>mehrsprachigkeitBegriffsrückgabe(gewählteSpracheZurückgeben(), "Product")</f>
        <v>Produkt</v>
      </c>
      <c r="G62" s="72" t="s">
        <v>140</v>
      </c>
      <c r="H62" s="72" t="s">
        <v>163</v>
      </c>
      <c r="I62" s="72" t="s">
        <v>87</v>
      </c>
      <c r="J62" s="72" t="s">
        <v>141</v>
      </c>
      <c r="K62" s="128"/>
      <c r="L62" s="162"/>
      <c r="M62" s="169" t="s">
        <v>342</v>
      </c>
      <c r="N62" s="128" t="s">
        <v>163</v>
      </c>
      <c r="BA62" s="162"/>
      <c r="BB62" s="104" t="s">
        <v>148</v>
      </c>
      <c r="BC62" s="72" t="s">
        <v>96</v>
      </c>
      <c r="BD62" s="72" t="s">
        <v>250</v>
      </c>
      <c r="BE62" s="72" t="s">
        <v>134</v>
      </c>
      <c r="BF62" s="162"/>
      <c r="BG62" s="83">
        <v>175.63</v>
      </c>
      <c r="BH62" s="107"/>
      <c r="BI62" s="162"/>
      <c r="BJ62" s="105"/>
      <c r="BK62" s="107"/>
      <c r="BL62" s="107"/>
      <c r="BM62" s="105"/>
      <c r="BN62" s="107"/>
      <c r="BO62" s="107"/>
      <c r="BP62" s="162"/>
      <c r="BQ62" s="83" t="s">
        <v>163</v>
      </c>
      <c r="BR62" s="107"/>
      <c r="BS62" s="105"/>
      <c r="BT62" s="162"/>
      <c r="BU62" s="105"/>
      <c r="BV62" s="105"/>
      <c r="BX62" s="107"/>
      <c r="BY62" s="105"/>
      <c r="BZ62" s="107"/>
      <c r="CA62" s="107"/>
      <c r="CB62" s="105"/>
      <c r="CC62" s="107"/>
      <c r="CD62" s="107"/>
      <c r="CF62" s="107"/>
      <c r="CG62" s="105"/>
      <c r="CH62" s="162"/>
      <c r="CI62" s="105"/>
      <c r="CJ62" s="105"/>
      <c r="CL62" s="107"/>
      <c r="CM62" s="105"/>
      <c r="CN62" s="107"/>
      <c r="CO62" s="107"/>
      <c r="CP62" s="105"/>
      <c r="CQ62" s="107"/>
      <c r="CR62" s="107"/>
      <c r="CT62" s="107"/>
      <c r="CU62" s="105"/>
      <c r="CV62" s="162"/>
      <c r="CW62" s="105"/>
      <c r="CX62" s="105"/>
      <c r="CZ62" s="107"/>
      <c r="DA62" s="105"/>
      <c r="DB62" s="107"/>
      <c r="DC62" s="107"/>
      <c r="DD62" s="105"/>
      <c r="DE62" s="107"/>
      <c r="DF62" s="107"/>
      <c r="DH62" s="107"/>
      <c r="DI62" s="105"/>
      <c r="DJ62" s="162"/>
      <c r="DK62" s="105"/>
      <c r="DL62" s="105"/>
      <c r="DN62" s="107"/>
      <c r="DO62" s="105"/>
      <c r="DP62" s="107"/>
      <c r="DQ62" s="107"/>
      <c r="DR62" s="105"/>
      <c r="DS62" s="107"/>
      <c r="DT62" s="107"/>
      <c r="DV62" s="107"/>
      <c r="DW62" s="105"/>
      <c r="DX62" s="162"/>
      <c r="DY62" s="105"/>
      <c r="DZ62" s="105"/>
      <c r="EB62" s="107"/>
      <c r="EC62" s="105"/>
      <c r="ED62" s="107"/>
      <c r="EE62" s="107"/>
      <c r="EF62" s="105"/>
      <c r="EG62" s="107"/>
      <c r="EH62" s="107"/>
      <c r="EJ62" s="107"/>
      <c r="EK62" s="105"/>
      <c r="EL62" s="162"/>
      <c r="EM62" s="72" t="s">
        <v>169</v>
      </c>
      <c r="EN62" s="74">
        <v>1100</v>
      </c>
      <c r="EO62" s="104"/>
      <c r="EP62" s="72" t="s">
        <v>77</v>
      </c>
      <c r="EV62" s="78" t="s">
        <v>238</v>
      </c>
      <c r="EY62" s="72" t="s">
        <v>98</v>
      </c>
      <c r="EZ62" s="72" t="s">
        <v>347</v>
      </c>
      <c r="FB62" s="78"/>
      <c r="FC62" s="78"/>
      <c r="FD62" s="162"/>
      <c r="FE62" s="78"/>
      <c r="FF62" s="78"/>
      <c r="FG62" s="78"/>
      <c r="FO62" s="162"/>
      <c r="FP62" s="78"/>
      <c r="FQ62" s="78"/>
      <c r="FR62" s="78"/>
    </row>
    <row r="63" spans="1:174" ht="15.95" customHeight="1" x14ac:dyDescent="0.25">
      <c r="E63" s="162"/>
      <c r="F63" s="71" t="str">
        <f>mehrsprachigkeitBegriffsrückgabe(gewählteSpracheZurückgeben(), "Product (foreign language)")</f>
        <v>Produkt (Fremdsprache)</v>
      </c>
      <c r="H63" s="72" t="s">
        <v>140</v>
      </c>
      <c r="I63" s="72" t="s">
        <v>102</v>
      </c>
      <c r="J63" s="72" t="s">
        <v>141</v>
      </c>
      <c r="K63" s="119"/>
      <c r="L63" s="162"/>
      <c r="M63" s="166"/>
      <c r="N63" s="119"/>
      <c r="BA63" s="162"/>
      <c r="BB63" s="104" t="s">
        <v>147</v>
      </c>
      <c r="BC63" s="72" t="s">
        <v>128</v>
      </c>
      <c r="BF63" s="162"/>
      <c r="BG63" s="83" t="s">
        <v>163</v>
      </c>
      <c r="BH63" s="107"/>
      <c r="BI63" s="162"/>
      <c r="BJ63" s="105"/>
      <c r="BK63" s="107"/>
      <c r="BL63" s="107"/>
      <c r="BM63" s="105"/>
      <c r="BN63" s="107"/>
      <c r="BO63" s="107"/>
      <c r="BP63" s="162"/>
      <c r="BQ63" s="83" t="s">
        <v>163</v>
      </c>
      <c r="BR63" s="107"/>
      <c r="BS63" s="105"/>
      <c r="BT63" s="162"/>
      <c r="BU63" s="105"/>
      <c r="BV63" s="105"/>
      <c r="BX63" s="107"/>
      <c r="BY63" s="105"/>
      <c r="BZ63" s="107"/>
      <c r="CA63" s="107"/>
      <c r="CB63" s="105"/>
      <c r="CC63" s="107"/>
      <c r="CD63" s="107"/>
      <c r="CF63" s="107"/>
      <c r="CG63" s="105"/>
      <c r="CH63" s="162"/>
      <c r="CI63" s="105"/>
      <c r="CJ63" s="105"/>
      <c r="CL63" s="107"/>
      <c r="CM63" s="105"/>
      <c r="CN63" s="107"/>
      <c r="CO63" s="107"/>
      <c r="CP63" s="105"/>
      <c r="CQ63" s="107"/>
      <c r="CR63" s="107"/>
      <c r="CT63" s="107"/>
      <c r="CU63" s="105"/>
      <c r="CV63" s="162"/>
      <c r="CW63" s="105"/>
      <c r="CX63" s="105"/>
      <c r="CZ63" s="107"/>
      <c r="DA63" s="105"/>
      <c r="DB63" s="107"/>
      <c r="DC63" s="107"/>
      <c r="DD63" s="105"/>
      <c r="DE63" s="107"/>
      <c r="DF63" s="107"/>
      <c r="DH63" s="107"/>
      <c r="DI63" s="105"/>
      <c r="DJ63" s="162"/>
      <c r="DK63" s="105"/>
      <c r="DL63" s="105"/>
      <c r="DN63" s="107"/>
      <c r="DO63" s="105"/>
      <c r="DP63" s="107"/>
      <c r="DQ63" s="107"/>
      <c r="DR63" s="105"/>
      <c r="DS63" s="107"/>
      <c r="DT63" s="107"/>
      <c r="DV63" s="107"/>
      <c r="DW63" s="105"/>
      <c r="DX63" s="162"/>
      <c r="DY63" s="105"/>
      <c r="DZ63" s="105"/>
      <c r="EB63" s="107"/>
      <c r="EC63" s="105"/>
      <c r="ED63" s="107"/>
      <c r="EE63" s="107"/>
      <c r="EF63" s="105"/>
      <c r="EG63" s="107"/>
      <c r="EH63" s="107"/>
      <c r="EJ63" s="107"/>
      <c r="EK63" s="105"/>
      <c r="EL63" s="162"/>
      <c r="EO63" s="125"/>
      <c r="EP63" s="72" t="s">
        <v>104</v>
      </c>
      <c r="EV63" s="78" t="s">
        <v>238</v>
      </c>
      <c r="FB63" s="78"/>
      <c r="FC63" s="78"/>
      <c r="FD63" s="162"/>
      <c r="FE63" s="78"/>
      <c r="FF63" s="78"/>
      <c r="FG63" s="78"/>
      <c r="FO63" s="162"/>
      <c r="FP63" s="78"/>
      <c r="FQ63" s="78"/>
      <c r="FR63" s="78"/>
    </row>
    <row r="64" spans="1:174" ht="15.95" customHeight="1" x14ac:dyDescent="0.25">
      <c r="A64" s="71">
        <v>1</v>
      </c>
      <c r="D64" s="70">
        <v>1</v>
      </c>
      <c r="E64" s="162"/>
      <c r="F64" s="71" t="str">
        <f>mehrsprachigkeitBegriffsrückgabe(gewählteSpracheZurückgeben(), "Variant")</f>
        <v>Variante</v>
      </c>
      <c r="G64" s="72" t="s">
        <v>142</v>
      </c>
      <c r="H64" s="72" t="s">
        <v>140</v>
      </c>
      <c r="I64" s="72" t="s">
        <v>87</v>
      </c>
      <c r="J64" s="72" t="s">
        <v>350</v>
      </c>
      <c r="K64" s="119"/>
      <c r="L64" s="162"/>
      <c r="M64" s="166" t="s">
        <v>342</v>
      </c>
      <c r="N64" s="119" t="s">
        <v>163</v>
      </c>
      <c r="O64" s="128" t="s">
        <v>343</v>
      </c>
      <c r="P64" s="128" t="s">
        <v>163</v>
      </c>
      <c r="BA64" s="162"/>
      <c r="BB64" s="121" t="s">
        <v>146</v>
      </c>
      <c r="BC64" s="123" t="s">
        <v>120</v>
      </c>
      <c r="BF64" s="162"/>
      <c r="BG64" s="83">
        <v>192.44</v>
      </c>
      <c r="BH64" s="107" t="str">
        <f>mehrsprachigkeitBegriffsrückgabe(gewählteSpracheZurückgeben(), "Independent price")</f>
        <v>Eigenständiger Preis</v>
      </c>
      <c r="BI64" s="162"/>
      <c r="BJ64" s="105">
        <v>1</v>
      </c>
      <c r="BK64" s="121" t="str">
        <f>mehrsprachigkeitBegriffsrückgabe(gewählteSpracheZurückgeben(), "Fixed scale price")</f>
        <v>Feste Preisangabe</v>
      </c>
      <c r="BL64" s="121" t="str">
        <f>mehrsprachigkeitBegriffsrückgabe(gewählteSpracheZurückgeben(), "Separated by products, variants and configurations")</f>
        <v>Produkte, Varianten und Konfigurationen getrennt</v>
      </c>
      <c r="BM64" s="105">
        <v>1</v>
      </c>
      <c r="BN64" s="107"/>
      <c r="BO64" s="107" t="s">
        <v>229</v>
      </c>
      <c r="BP64" s="162"/>
      <c r="BQ64" s="83" t="s">
        <v>163</v>
      </c>
      <c r="BR64" s="107" t="str">
        <f>mehrsprachigkeitBegriffsrückgabe(gewählteSpracheZurückgeben(), "Independent price")</f>
        <v>Eigenständiger Preis</v>
      </c>
      <c r="BS64" s="105"/>
      <c r="BT64" s="162"/>
      <c r="BU64" s="105"/>
      <c r="BV64" s="105"/>
      <c r="BX64" s="107"/>
      <c r="BY64" s="105"/>
      <c r="BZ64" s="121"/>
      <c r="CA64" s="121"/>
      <c r="CB64" s="105"/>
      <c r="CC64" s="107"/>
      <c r="CD64" s="107"/>
      <c r="CF64" s="107"/>
      <c r="CG64" s="105"/>
      <c r="CH64" s="162"/>
      <c r="CI64" s="105"/>
      <c r="CJ64" s="105"/>
      <c r="CL64" s="107"/>
      <c r="CM64" s="105"/>
      <c r="CN64" s="121"/>
      <c r="CO64" s="121"/>
      <c r="CP64" s="105"/>
      <c r="CQ64" s="107"/>
      <c r="CR64" s="107"/>
      <c r="CT64" s="107"/>
      <c r="CU64" s="105"/>
      <c r="CV64" s="162"/>
      <c r="CW64" s="105"/>
      <c r="CX64" s="105"/>
      <c r="CZ64" s="107"/>
      <c r="DA64" s="105"/>
      <c r="DB64" s="121"/>
      <c r="DC64" s="121"/>
      <c r="DD64" s="105"/>
      <c r="DE64" s="107"/>
      <c r="DF64" s="107"/>
      <c r="DH64" s="107"/>
      <c r="DI64" s="105"/>
      <c r="DJ64" s="162"/>
      <c r="DK64" s="105"/>
      <c r="DL64" s="105"/>
      <c r="DN64" s="107"/>
      <c r="DO64" s="105"/>
      <c r="DP64" s="121"/>
      <c r="DQ64" s="121"/>
      <c r="DR64" s="105"/>
      <c r="DS64" s="107"/>
      <c r="DT64" s="107"/>
      <c r="DV64" s="107"/>
      <c r="DW64" s="105"/>
      <c r="DX64" s="162"/>
      <c r="DY64" s="105"/>
      <c r="DZ64" s="105"/>
      <c r="EB64" s="107"/>
      <c r="EC64" s="105"/>
      <c r="ED64" s="121"/>
      <c r="EE64" s="121"/>
      <c r="EF64" s="105"/>
      <c r="EG64" s="107"/>
      <c r="EH64" s="107"/>
      <c r="EJ64" s="107"/>
      <c r="EK64" s="105"/>
      <c r="EL64" s="162"/>
      <c r="EN64" s="74">
        <v>1100</v>
      </c>
      <c r="EO64" s="125" t="str">
        <f>mehrsprachigkeitBegriffsrückgabe(gewählteSpracheZurückgeben(), "Independent weight")</f>
        <v>Eigenständiges Gewicht</v>
      </c>
      <c r="EY64" s="72" t="s">
        <v>166</v>
      </c>
      <c r="EZ64" s="72" t="s">
        <v>349</v>
      </c>
      <c r="FB64" s="78"/>
      <c r="FC64" s="78"/>
      <c r="FD64" s="162"/>
      <c r="FE64" s="78"/>
      <c r="FF64" s="78"/>
      <c r="FG64" s="78"/>
      <c r="FO64" s="162"/>
      <c r="FP64" s="78"/>
      <c r="FQ64" s="78"/>
      <c r="FR64" s="78"/>
    </row>
    <row r="65" spans="1:174" ht="15.95" customHeight="1" x14ac:dyDescent="0.25">
      <c r="E65" s="162"/>
      <c r="F65" s="71" t="str">
        <f>mehrsprachigkeitBegriffsrückgabe(gewählteSpracheZurückgeben(), "Variant (foreign language)")</f>
        <v>Variante (Fremdsprache)</v>
      </c>
      <c r="H65" s="72" t="s">
        <v>142</v>
      </c>
      <c r="I65" s="119" t="s">
        <v>102</v>
      </c>
      <c r="J65" s="72" t="s">
        <v>119</v>
      </c>
      <c r="K65" s="128"/>
      <c r="L65" s="162"/>
      <c r="M65" s="169"/>
      <c r="N65" s="128" t="s">
        <v>163</v>
      </c>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62"/>
      <c r="BB65" s="121" t="s">
        <v>147</v>
      </c>
      <c r="BC65" s="123" t="s">
        <v>128</v>
      </c>
      <c r="BF65" s="162"/>
      <c r="BG65" s="83" t="s">
        <v>163</v>
      </c>
      <c r="BH65" s="107"/>
      <c r="BI65" s="162"/>
      <c r="BJ65" s="105"/>
      <c r="BK65" s="121"/>
      <c r="BL65" s="121"/>
      <c r="BM65" s="105"/>
      <c r="BN65" s="107"/>
      <c r="BO65" s="107"/>
      <c r="BP65" s="162"/>
      <c r="BQ65" s="83" t="s">
        <v>163</v>
      </c>
      <c r="BR65" s="107"/>
      <c r="BS65" s="105"/>
      <c r="BT65" s="162"/>
      <c r="BU65" s="105"/>
      <c r="BV65" s="105"/>
      <c r="BX65" s="107"/>
      <c r="BY65" s="105"/>
      <c r="BZ65" s="121"/>
      <c r="CA65" s="121"/>
      <c r="CB65" s="105"/>
      <c r="CC65" s="107"/>
      <c r="CD65" s="107"/>
      <c r="CF65" s="107"/>
      <c r="CG65" s="105"/>
      <c r="CH65" s="162"/>
      <c r="CI65" s="105"/>
      <c r="CJ65" s="105"/>
      <c r="CL65" s="107"/>
      <c r="CM65" s="105"/>
      <c r="CN65" s="121"/>
      <c r="CO65" s="121"/>
      <c r="CP65" s="105"/>
      <c r="CQ65" s="107"/>
      <c r="CR65" s="107"/>
      <c r="CT65" s="107"/>
      <c r="CU65" s="105"/>
      <c r="CV65" s="162"/>
      <c r="CW65" s="105"/>
      <c r="CX65" s="105"/>
      <c r="CZ65" s="107"/>
      <c r="DA65" s="105"/>
      <c r="DB65" s="121"/>
      <c r="DC65" s="121"/>
      <c r="DD65" s="105"/>
      <c r="DE65" s="107"/>
      <c r="DF65" s="107"/>
      <c r="DH65" s="107"/>
      <c r="DI65" s="105"/>
      <c r="DJ65" s="162"/>
      <c r="DK65" s="105"/>
      <c r="DL65" s="105"/>
      <c r="DN65" s="107"/>
      <c r="DO65" s="105"/>
      <c r="DP65" s="121"/>
      <c r="DQ65" s="121"/>
      <c r="DR65" s="105"/>
      <c r="DS65" s="107"/>
      <c r="DT65" s="107"/>
      <c r="DV65" s="107"/>
      <c r="DW65" s="105"/>
      <c r="DX65" s="162"/>
      <c r="DY65" s="105"/>
      <c r="DZ65" s="105"/>
      <c r="EB65" s="107"/>
      <c r="EC65" s="105"/>
      <c r="ED65" s="121"/>
      <c r="EE65" s="121"/>
      <c r="EF65" s="105"/>
      <c r="EG65" s="107"/>
      <c r="EH65" s="107"/>
      <c r="EJ65" s="107"/>
      <c r="EK65" s="105"/>
      <c r="EL65" s="162"/>
      <c r="EO65" s="125"/>
      <c r="FB65" s="78"/>
      <c r="FC65" s="78"/>
      <c r="FD65" s="162"/>
      <c r="FE65" s="78"/>
      <c r="FF65" s="78"/>
      <c r="FG65" s="78"/>
      <c r="FO65" s="162"/>
      <c r="FP65" s="78"/>
      <c r="FQ65" s="78"/>
      <c r="FR65" s="78"/>
    </row>
    <row r="66" spans="1:174" ht="15.95" customHeight="1" x14ac:dyDescent="0.25">
      <c r="A66" s="71">
        <v>2</v>
      </c>
      <c r="D66" s="70">
        <v>1</v>
      </c>
      <c r="E66" s="162"/>
      <c r="F66" s="71" t="str">
        <f>mehrsprachigkeitBegriffsrückgabe(gewählteSpracheZurückgeben(), "Variant")</f>
        <v>Variante</v>
      </c>
      <c r="G66" s="72" t="s">
        <v>143</v>
      </c>
      <c r="H66" s="72" t="s">
        <v>140</v>
      </c>
      <c r="I66" s="72" t="s">
        <v>87</v>
      </c>
      <c r="J66" s="72" t="s">
        <v>95</v>
      </c>
      <c r="K66" s="119"/>
      <c r="L66" s="162"/>
      <c r="M66" s="166" t="s">
        <v>342</v>
      </c>
      <c r="N66" s="119" t="s">
        <v>163</v>
      </c>
      <c r="O66" s="128" t="s">
        <v>343</v>
      </c>
      <c r="P66" s="128" t="s">
        <v>163</v>
      </c>
      <c r="BA66" s="162"/>
      <c r="BB66" s="121" t="s">
        <v>146</v>
      </c>
      <c r="BC66" s="123" t="s">
        <v>120</v>
      </c>
      <c r="BF66" s="162"/>
      <c r="BG66" s="83">
        <v>200.84</v>
      </c>
      <c r="BH66" s="107" t="str">
        <f>mehrsprachigkeitBegriffsrückgabe(gewählteSpracheZurückgeben(), "Independent price")</f>
        <v>Eigenständiger Preis</v>
      </c>
      <c r="BI66" s="162"/>
      <c r="BJ66" s="105">
        <v>1</v>
      </c>
      <c r="BK66" s="121" t="str">
        <f>mehrsprachigkeitBegriffsrückgabe(gewählteSpracheZurückgeben(), "Fixed scale price")</f>
        <v>Feste Preisangabe</v>
      </c>
      <c r="BL66" s="121" t="str">
        <f>mehrsprachigkeitBegriffsrückgabe(gewählteSpracheZurückgeben(), "Separated by products, variants and configurations")</f>
        <v>Produkte, Varianten und Konfigurationen getrennt</v>
      </c>
      <c r="BM66" s="105">
        <v>1</v>
      </c>
      <c r="BN66" s="107"/>
      <c r="BO66" s="107" t="s">
        <v>235</v>
      </c>
      <c r="BP66" s="162"/>
      <c r="BQ66" s="83" t="s">
        <v>163</v>
      </c>
      <c r="BR66" s="107" t="str">
        <f>mehrsprachigkeitBegriffsrückgabe(gewählteSpracheZurückgeben(), "Independent price")</f>
        <v>Eigenständiger Preis</v>
      </c>
      <c r="BS66" s="105"/>
      <c r="BT66" s="162"/>
      <c r="BU66" s="105"/>
      <c r="BV66" s="105"/>
      <c r="BX66" s="107"/>
      <c r="BY66" s="105"/>
      <c r="BZ66" s="121"/>
      <c r="CA66" s="121"/>
      <c r="CB66" s="105"/>
      <c r="CC66" s="107"/>
      <c r="CD66" s="107"/>
      <c r="CF66" s="107"/>
      <c r="CG66" s="105"/>
      <c r="CH66" s="162"/>
      <c r="CI66" s="105"/>
      <c r="CJ66" s="105"/>
      <c r="CL66" s="107"/>
      <c r="CM66" s="105"/>
      <c r="CN66" s="121"/>
      <c r="CO66" s="121"/>
      <c r="CP66" s="105"/>
      <c r="CQ66" s="107"/>
      <c r="CR66" s="107"/>
      <c r="CT66" s="107"/>
      <c r="CU66" s="105"/>
      <c r="CV66" s="162"/>
      <c r="CW66" s="105"/>
      <c r="CX66" s="105"/>
      <c r="CZ66" s="107"/>
      <c r="DA66" s="105"/>
      <c r="DB66" s="121"/>
      <c r="DC66" s="121"/>
      <c r="DD66" s="105"/>
      <c r="DE66" s="107"/>
      <c r="DF66" s="107"/>
      <c r="DH66" s="107"/>
      <c r="DI66" s="105"/>
      <c r="DJ66" s="162"/>
      <c r="DK66" s="105"/>
      <c r="DL66" s="105"/>
      <c r="DN66" s="107"/>
      <c r="DO66" s="105"/>
      <c r="DP66" s="121"/>
      <c r="DQ66" s="121"/>
      <c r="DR66" s="105"/>
      <c r="DS66" s="107"/>
      <c r="DT66" s="107"/>
      <c r="DV66" s="107"/>
      <c r="DW66" s="105"/>
      <c r="DX66" s="162"/>
      <c r="DY66" s="105"/>
      <c r="DZ66" s="105"/>
      <c r="EB66" s="107"/>
      <c r="EC66" s="105"/>
      <c r="ED66" s="121"/>
      <c r="EE66" s="121"/>
      <c r="EF66" s="105"/>
      <c r="EG66" s="107"/>
      <c r="EH66" s="107"/>
      <c r="EJ66" s="107"/>
      <c r="EK66" s="105"/>
      <c r="EL66" s="162"/>
      <c r="EN66" s="74">
        <v>1100</v>
      </c>
      <c r="EO66" s="125" t="str">
        <f>mehrsprachigkeitBegriffsrückgabe(gewählteSpracheZurückgeben(), "Independent weight")</f>
        <v>Eigenständiges Gewicht</v>
      </c>
      <c r="EY66" s="72" t="s">
        <v>98</v>
      </c>
      <c r="EZ66" s="72" t="s">
        <v>349</v>
      </c>
      <c r="FB66" s="78"/>
      <c r="FC66" s="78"/>
      <c r="FD66" s="162"/>
      <c r="FE66" s="78"/>
      <c r="FF66" s="78"/>
      <c r="FG66" s="78"/>
      <c r="FO66" s="162"/>
      <c r="FP66" s="78"/>
      <c r="FQ66" s="78"/>
      <c r="FR66" s="78"/>
    </row>
    <row r="67" spans="1:174" ht="15.95" customHeight="1" x14ac:dyDescent="0.25">
      <c r="E67" s="162"/>
      <c r="F67" s="71" t="str">
        <f>mehrsprachigkeitBegriffsrückgabe(gewählteSpracheZurückgeben(), "Variant (foreign language)")</f>
        <v>Variante (Fremdsprache)</v>
      </c>
      <c r="H67" s="72" t="s">
        <v>143</v>
      </c>
      <c r="I67" s="128" t="s">
        <v>102</v>
      </c>
      <c r="J67" s="72" t="s">
        <v>121</v>
      </c>
      <c r="K67" s="128"/>
      <c r="L67" s="162"/>
      <c r="M67" s="169"/>
      <c r="N67" s="128" t="s">
        <v>163</v>
      </c>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62"/>
      <c r="BB67" s="121" t="s">
        <v>147</v>
      </c>
      <c r="BC67" s="123" t="s">
        <v>128</v>
      </c>
      <c r="BF67" s="162"/>
      <c r="BG67" s="83" t="s">
        <v>163</v>
      </c>
      <c r="BH67" s="107"/>
      <c r="BI67" s="162"/>
      <c r="BJ67" s="105"/>
      <c r="BK67" s="121"/>
      <c r="BL67" s="121"/>
      <c r="BM67" s="105"/>
      <c r="BN67" s="107"/>
      <c r="BO67" s="107"/>
      <c r="BP67" s="162"/>
      <c r="BQ67" s="83" t="s">
        <v>163</v>
      </c>
      <c r="BR67" s="107"/>
      <c r="BS67" s="105"/>
      <c r="BT67" s="162"/>
      <c r="BU67" s="105"/>
      <c r="BV67" s="105"/>
      <c r="BX67" s="107"/>
      <c r="BY67" s="105"/>
      <c r="BZ67" s="121"/>
      <c r="CA67" s="121"/>
      <c r="CB67" s="105"/>
      <c r="CC67" s="107"/>
      <c r="CD67" s="107"/>
      <c r="CF67" s="107"/>
      <c r="CG67" s="105"/>
      <c r="CH67" s="162"/>
      <c r="CI67" s="105"/>
      <c r="CJ67" s="105"/>
      <c r="CL67" s="107"/>
      <c r="CM67" s="105"/>
      <c r="CN67" s="121"/>
      <c r="CO67" s="121"/>
      <c r="CP67" s="105"/>
      <c r="CQ67" s="107"/>
      <c r="CR67" s="107"/>
      <c r="CT67" s="107"/>
      <c r="CU67" s="105"/>
      <c r="CV67" s="162"/>
      <c r="CW67" s="105"/>
      <c r="CX67" s="105"/>
      <c r="CZ67" s="107"/>
      <c r="DA67" s="105"/>
      <c r="DB67" s="121"/>
      <c r="DC67" s="121"/>
      <c r="DD67" s="105"/>
      <c r="DE67" s="107"/>
      <c r="DF67" s="107"/>
      <c r="DH67" s="107"/>
      <c r="DI67" s="105"/>
      <c r="DJ67" s="162"/>
      <c r="DK67" s="105"/>
      <c r="DL67" s="105"/>
      <c r="DN67" s="107"/>
      <c r="DO67" s="105"/>
      <c r="DP67" s="121"/>
      <c r="DQ67" s="121"/>
      <c r="DR67" s="105"/>
      <c r="DS67" s="107"/>
      <c r="DT67" s="107"/>
      <c r="DV67" s="107"/>
      <c r="DW67" s="105"/>
      <c r="DX67" s="162"/>
      <c r="DY67" s="105"/>
      <c r="DZ67" s="105"/>
      <c r="EB67" s="107"/>
      <c r="EC67" s="105"/>
      <c r="ED67" s="121"/>
      <c r="EE67" s="121"/>
      <c r="EF67" s="105"/>
      <c r="EG67" s="107"/>
      <c r="EH67" s="107"/>
      <c r="EJ67" s="107"/>
      <c r="EK67" s="105"/>
      <c r="EL67" s="162"/>
      <c r="EO67" s="125"/>
      <c r="FB67" s="78"/>
      <c r="FC67" s="78"/>
      <c r="FD67" s="162"/>
      <c r="FE67" s="78"/>
      <c r="FF67" s="78"/>
      <c r="FG67" s="78"/>
      <c r="FO67" s="162"/>
      <c r="FP67" s="78"/>
      <c r="FQ67" s="78"/>
      <c r="FR67" s="78"/>
    </row>
    <row r="68" spans="1:174" ht="15.95" customHeight="1" x14ac:dyDescent="0.25">
      <c r="A68" s="71">
        <v>3</v>
      </c>
      <c r="D68" s="70">
        <v>1</v>
      </c>
      <c r="E68" s="162"/>
      <c r="F68" s="71" t="str">
        <f>mehrsprachigkeitBegriffsrückgabe(gewählteSpracheZurückgeben(), "Variant")</f>
        <v>Variante</v>
      </c>
      <c r="G68" s="72" t="s">
        <v>144</v>
      </c>
      <c r="H68" s="72" t="s">
        <v>140</v>
      </c>
      <c r="I68" s="72" t="s">
        <v>87</v>
      </c>
      <c r="J68" s="72" t="s">
        <v>168</v>
      </c>
      <c r="K68" s="119"/>
      <c r="L68" s="162"/>
      <c r="M68" s="166" t="s">
        <v>342</v>
      </c>
      <c r="N68" s="119" t="s">
        <v>163</v>
      </c>
      <c r="O68" s="128" t="s">
        <v>343</v>
      </c>
      <c r="P68" s="128" t="s">
        <v>163</v>
      </c>
      <c r="BA68" s="162"/>
      <c r="BB68" s="121" t="s">
        <v>146</v>
      </c>
      <c r="BC68" s="123" t="s">
        <v>120</v>
      </c>
      <c r="BF68" s="162"/>
      <c r="BG68" s="83">
        <v>175.63</v>
      </c>
      <c r="BH68" s="107" t="str">
        <f>mehrsprachigkeitBegriffsrückgabe(gewählteSpracheZurückgeben(), "Independent price")</f>
        <v>Eigenständiger Preis</v>
      </c>
      <c r="BI68" s="162"/>
      <c r="BJ68" s="105">
        <v>1</v>
      </c>
      <c r="BK68" s="121" t="str">
        <f>mehrsprachigkeitBegriffsrückgabe(gewählteSpracheZurückgeben(), "Fixed scale price")</f>
        <v>Feste Preisangabe</v>
      </c>
      <c r="BL68" s="121" t="str">
        <f>mehrsprachigkeitBegriffsrückgabe(gewählteSpracheZurückgeben(), "Separated by products, variants and configurations")</f>
        <v>Produkte, Varianten und Konfigurationen getrennt</v>
      </c>
      <c r="BM68" s="105">
        <v>1</v>
      </c>
      <c r="BN68" s="107"/>
      <c r="BO68" s="107" t="s">
        <v>236</v>
      </c>
      <c r="BP68" s="162"/>
      <c r="BQ68" s="83" t="s">
        <v>163</v>
      </c>
      <c r="BR68" s="107" t="str">
        <f>mehrsprachigkeitBegriffsrückgabe(gewählteSpracheZurückgeben(), "Independent price")</f>
        <v>Eigenständiger Preis</v>
      </c>
      <c r="BS68" s="105"/>
      <c r="BT68" s="162"/>
      <c r="BU68" s="105"/>
      <c r="BV68" s="105"/>
      <c r="BX68" s="107"/>
      <c r="BY68" s="105"/>
      <c r="BZ68" s="121"/>
      <c r="CA68" s="121"/>
      <c r="CB68" s="105"/>
      <c r="CC68" s="107"/>
      <c r="CD68" s="107"/>
      <c r="CF68" s="107"/>
      <c r="CG68" s="105"/>
      <c r="CH68" s="162"/>
      <c r="CI68" s="105"/>
      <c r="CJ68" s="105"/>
      <c r="CL68" s="107"/>
      <c r="CM68" s="105"/>
      <c r="CN68" s="121"/>
      <c r="CO68" s="121"/>
      <c r="CP68" s="105"/>
      <c r="CQ68" s="107"/>
      <c r="CR68" s="107"/>
      <c r="CT68" s="107"/>
      <c r="CU68" s="105"/>
      <c r="CV68" s="162"/>
      <c r="CW68" s="105"/>
      <c r="CX68" s="105"/>
      <c r="CZ68" s="107"/>
      <c r="DA68" s="105"/>
      <c r="DB68" s="121"/>
      <c r="DC68" s="121"/>
      <c r="DD68" s="105"/>
      <c r="DE68" s="107"/>
      <c r="DF68" s="107"/>
      <c r="DH68" s="107"/>
      <c r="DI68" s="105"/>
      <c r="DJ68" s="162"/>
      <c r="DK68" s="105"/>
      <c r="DL68" s="105"/>
      <c r="DN68" s="107"/>
      <c r="DO68" s="105"/>
      <c r="DP68" s="121"/>
      <c r="DQ68" s="121"/>
      <c r="DR68" s="105"/>
      <c r="DS68" s="107"/>
      <c r="DT68" s="107"/>
      <c r="DV68" s="107"/>
      <c r="DW68" s="105"/>
      <c r="DX68" s="162"/>
      <c r="DY68" s="105"/>
      <c r="DZ68" s="105"/>
      <c r="EB68" s="107"/>
      <c r="EC68" s="105"/>
      <c r="ED68" s="121"/>
      <c r="EE68" s="121"/>
      <c r="EF68" s="105"/>
      <c r="EG68" s="107"/>
      <c r="EH68" s="107"/>
      <c r="EJ68" s="107"/>
      <c r="EK68" s="105"/>
      <c r="EL68" s="162"/>
      <c r="EN68" s="74">
        <v>1100</v>
      </c>
      <c r="EO68" s="125" t="str">
        <f>mehrsprachigkeitBegriffsrückgabe(gewählteSpracheZurückgeben(), "Independent weight")</f>
        <v>Eigenständiges Gewicht</v>
      </c>
      <c r="EY68" s="72" t="s">
        <v>145</v>
      </c>
      <c r="EZ68" s="72" t="s">
        <v>349</v>
      </c>
      <c r="FB68" s="78"/>
      <c r="FC68" s="78"/>
      <c r="FD68" s="162"/>
      <c r="FE68" s="78"/>
      <c r="FF68" s="78"/>
      <c r="FG68" s="78"/>
      <c r="FO68" s="162"/>
      <c r="FP68" s="78"/>
      <c r="FQ68" s="78"/>
      <c r="FR68" s="78"/>
    </row>
    <row r="69" spans="1:174" ht="15.95" customHeight="1" x14ac:dyDescent="0.25">
      <c r="E69" s="162"/>
      <c r="F69" s="71" t="str">
        <f>mehrsprachigkeitBegriffsrückgabe(gewählteSpracheZurückgeben(), "Variant (foreign language)")</f>
        <v>Variante (Fremdsprache)</v>
      </c>
      <c r="H69" s="72" t="s">
        <v>144</v>
      </c>
      <c r="I69" s="128" t="s">
        <v>102</v>
      </c>
      <c r="J69" s="72" t="s">
        <v>122</v>
      </c>
      <c r="K69" s="128"/>
      <c r="L69" s="162"/>
      <c r="M69" s="169"/>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62"/>
      <c r="BB69" s="121" t="s">
        <v>147</v>
      </c>
      <c r="BC69" s="123" t="s">
        <v>128</v>
      </c>
      <c r="BF69" s="162"/>
      <c r="BG69" s="83" t="s">
        <v>163</v>
      </c>
      <c r="BH69" s="107"/>
      <c r="BI69" s="162"/>
      <c r="BJ69" s="105"/>
      <c r="BK69" s="121"/>
      <c r="BL69" s="121"/>
      <c r="BM69" s="105"/>
      <c r="BN69" s="107" t="s">
        <v>163</v>
      </c>
      <c r="BO69" s="107" t="s">
        <v>163</v>
      </c>
      <c r="BP69" s="162"/>
      <c r="BQ69" s="83" t="s">
        <v>163</v>
      </c>
      <c r="BR69" s="107"/>
      <c r="BS69" s="105"/>
      <c r="BT69" s="162"/>
      <c r="BU69" s="105"/>
      <c r="BV69" s="105"/>
      <c r="BX69" s="107"/>
      <c r="BY69" s="105"/>
      <c r="BZ69" s="121"/>
      <c r="CA69" s="121"/>
      <c r="CB69" s="105"/>
      <c r="CC69" s="107"/>
      <c r="CD69" s="107"/>
      <c r="CF69" s="107"/>
      <c r="CG69" s="105"/>
      <c r="CH69" s="162"/>
      <c r="CI69" s="105"/>
      <c r="CJ69" s="105"/>
      <c r="CL69" s="107"/>
      <c r="CM69" s="105"/>
      <c r="CN69" s="121"/>
      <c r="CO69" s="121"/>
      <c r="CP69" s="105"/>
      <c r="CQ69" s="107"/>
      <c r="CR69" s="107"/>
      <c r="CT69" s="107"/>
      <c r="CU69" s="105"/>
      <c r="CV69" s="162"/>
      <c r="CW69" s="105"/>
      <c r="CX69" s="105"/>
      <c r="CZ69" s="107"/>
      <c r="DA69" s="105"/>
      <c r="DB69" s="121"/>
      <c r="DC69" s="121"/>
      <c r="DD69" s="105"/>
      <c r="DE69" s="107"/>
      <c r="DF69" s="107"/>
      <c r="DH69" s="107"/>
      <c r="DI69" s="105"/>
      <c r="DJ69" s="162"/>
      <c r="DK69" s="105"/>
      <c r="DL69" s="105"/>
      <c r="DN69" s="107"/>
      <c r="DO69" s="105"/>
      <c r="DP69" s="121"/>
      <c r="DQ69" s="121"/>
      <c r="DR69" s="105"/>
      <c r="DS69" s="107"/>
      <c r="DT69" s="107"/>
      <c r="DV69" s="107"/>
      <c r="DW69" s="105"/>
      <c r="DX69" s="162"/>
      <c r="DY69" s="105"/>
      <c r="DZ69" s="105"/>
      <c r="EB69" s="107"/>
      <c r="EC69" s="105"/>
      <c r="ED69" s="121"/>
      <c r="EE69" s="121"/>
      <c r="EF69" s="105"/>
      <c r="EG69" s="107"/>
      <c r="EH69" s="107"/>
      <c r="EJ69" s="107"/>
      <c r="EK69" s="105"/>
      <c r="EL69" s="162"/>
      <c r="EO69" s="125"/>
      <c r="FB69" s="78"/>
      <c r="FC69" s="78"/>
      <c r="FD69" s="162"/>
      <c r="FE69" s="78"/>
      <c r="FF69" s="78"/>
      <c r="FG69" s="78"/>
      <c r="FO69" s="162"/>
      <c r="FP69" s="78"/>
      <c r="FQ69" s="78"/>
      <c r="FR69" s="78"/>
    </row>
  </sheetData>
  <sheetProtection formatCells="0" formatColumns="0" formatRows="0" insertColumns="0" insertRows="0" insertHyperlinks="0" deleteColumns="0" deleteRows="0" sort="0" autoFilter="0" pivotTables="0"/>
  <sortState ref="A12:EW70">
    <sortCondition ref="BD12:BD70"/>
  </sortState>
  <conditionalFormatting sqref="A12:D1048576 F12:K1048576 BB12:BE1048576 BG12:BH1048576 BJ12:BO1048576 BQ12:BS1048576 BU12:CG1048576 CI12:CU1048576 CW12:DI1048576 DK12:DW1048576 DY12:EK1048576 EM12:FC1048576 FE12:FN1048576 FP12:XFD1048576 M12:AZ1048576">
    <cfRule type="expression" dxfId="6" priority="33">
      <formula>OR(AND(OR($F12="Produkt",$F12="Product"),OR($F13="Variante",$F13="Variant",$F13="Variante (Fremdsprache)",$F13="Variant (foreign language)")),AND(OR($F12="Produkt",$F12="Product"),OR($F13="Produkt (Fremdsprache)",$F13="Product (foreign language)"),OR($F13&lt;&gt;"Produkt",$F13&lt;&gt;"Product"),OR($F14="Variante",$F14="Variant",$F14="Variante (Fremdsprache)",$F14="Variant (foreign language)")))</formula>
    </cfRule>
    <cfRule type="expression" dxfId="5" priority="32">
      <formula>OR($F12="Variante",$F12="Variant")</formula>
    </cfRule>
    <cfRule type="expression" dxfId="4" priority="31">
      <formula>OR($F12="Produkt",$F12="Product")</formula>
    </cfRule>
    <cfRule type="expression" dxfId="3" priority="30">
      <formula>OR($F12="Variante (Fremdsprache)",$F12="Variant (foreign language)",$F12="Produkt (Fremdsprache)",$F12="Product (foreign language)")</formula>
    </cfRule>
    <cfRule type="expression" dxfId="2" priority="29">
      <formula>ISERROR(SEARCH("/" &amp; INDIRECT(ADDRESS(ROW(),6)) &amp; "/",INDIRECT(ADDRESS(7,COLUMN()))))</formula>
    </cfRule>
    <cfRule type="expression" dxfId="1" priority="28">
      <formula>$B12=1</formula>
    </cfRule>
    <cfRule type="expression" dxfId="0" priority="27">
      <formula>$C12=1</formula>
    </cfRule>
  </conditionalFormatting>
  <conditionalFormatting sqref="D12:D1048576">
    <cfRule type="iconSet" priority="26">
      <iconSet showValue="0">
        <cfvo type="percent" val="0"/>
        <cfvo type="num" val="0"/>
        <cfvo type="num" val="1"/>
      </iconSet>
    </cfRule>
  </conditionalFormatting>
  <conditionalFormatting sqref="BJ12:BJ1048576">
    <cfRule type="iconSet" priority="25">
      <iconSet showValue="0">
        <cfvo type="percent" val="0"/>
        <cfvo type="num" val="0"/>
        <cfvo type="num" val="1"/>
      </iconSet>
    </cfRule>
  </conditionalFormatting>
  <conditionalFormatting sqref="BY12:BY1048576">
    <cfRule type="iconSet" priority="24">
      <iconSet showValue="0">
        <cfvo type="percent" val="0"/>
        <cfvo type="num" val="0"/>
        <cfvo type="num" val="1"/>
      </iconSet>
    </cfRule>
  </conditionalFormatting>
  <conditionalFormatting sqref="CM12:CM1048576">
    <cfRule type="iconSet" priority="23">
      <iconSet showValue="0">
        <cfvo type="percent" val="0"/>
        <cfvo type="num" val="0"/>
        <cfvo type="num" val="1"/>
      </iconSet>
    </cfRule>
  </conditionalFormatting>
  <conditionalFormatting sqref="DA12:DA1048576">
    <cfRule type="iconSet" priority="22">
      <iconSet showValue="0">
        <cfvo type="percent" val="0"/>
        <cfvo type="num" val="0"/>
        <cfvo type="num" val="1"/>
      </iconSet>
    </cfRule>
  </conditionalFormatting>
  <conditionalFormatting sqref="DO12:DO1048576">
    <cfRule type="iconSet" priority="21">
      <iconSet showValue="0">
        <cfvo type="percent" val="0"/>
        <cfvo type="num" val="0"/>
        <cfvo type="num" val="1"/>
      </iconSet>
    </cfRule>
  </conditionalFormatting>
  <conditionalFormatting sqref="EC12:EC1048576">
    <cfRule type="iconSet" priority="20">
      <iconSet showValue="0">
        <cfvo type="percent" val="0"/>
        <cfvo type="num" val="0"/>
        <cfvo type="num" val="1"/>
      </iconSet>
    </cfRule>
  </conditionalFormatting>
  <conditionalFormatting sqref="BM12:BM1048576">
    <cfRule type="iconSet" priority="19">
      <iconSet showValue="0">
        <cfvo type="percent" val="0"/>
        <cfvo type="num" val="0"/>
        <cfvo type="num" val="1"/>
      </iconSet>
    </cfRule>
  </conditionalFormatting>
  <conditionalFormatting sqref="CB12:CB1048576">
    <cfRule type="iconSet" priority="18">
      <iconSet showValue="0">
        <cfvo type="percent" val="0"/>
        <cfvo type="num" val="0"/>
        <cfvo type="num" val="1"/>
      </iconSet>
    </cfRule>
  </conditionalFormatting>
  <conditionalFormatting sqref="CP12:CP1048576">
    <cfRule type="iconSet" priority="17">
      <iconSet showValue="0">
        <cfvo type="percent" val="0"/>
        <cfvo type="num" val="0"/>
        <cfvo type="num" val="1"/>
      </iconSet>
    </cfRule>
  </conditionalFormatting>
  <conditionalFormatting sqref="DD12:DD1048576">
    <cfRule type="iconSet" priority="16">
      <iconSet showValue="0">
        <cfvo type="percent" val="0"/>
        <cfvo type="num" val="0"/>
        <cfvo type="num" val="1"/>
      </iconSet>
    </cfRule>
  </conditionalFormatting>
  <conditionalFormatting sqref="DR12:DR1048576">
    <cfRule type="iconSet" priority="15">
      <iconSet showValue="0">
        <cfvo type="percent" val="0"/>
        <cfvo type="num" val="0"/>
        <cfvo type="num" val="1"/>
      </iconSet>
    </cfRule>
  </conditionalFormatting>
  <conditionalFormatting sqref="EF12:EF1048576">
    <cfRule type="iconSet" priority="14">
      <iconSet showValue="0">
        <cfvo type="percent" val="0"/>
        <cfvo type="num" val="0"/>
        <cfvo type="num" val="1"/>
      </iconSet>
    </cfRule>
  </conditionalFormatting>
  <conditionalFormatting sqref="BS12:BS1048576">
    <cfRule type="iconSet" priority="13">
      <iconSet showValue="0">
        <cfvo type="percent" val="0"/>
        <cfvo type="num" val="0"/>
        <cfvo type="num" val="1"/>
      </iconSet>
    </cfRule>
  </conditionalFormatting>
  <conditionalFormatting sqref="CG12:CG1048576">
    <cfRule type="iconSet" priority="12">
      <iconSet showValue="0">
        <cfvo type="percent" val="0"/>
        <cfvo type="num" val="0"/>
        <cfvo type="num" val="1"/>
      </iconSet>
    </cfRule>
  </conditionalFormatting>
  <conditionalFormatting sqref="CU12:CU1048576">
    <cfRule type="iconSet" priority="11">
      <iconSet showValue="0">
        <cfvo type="percent" val="0"/>
        <cfvo type="num" val="0"/>
        <cfvo type="num" val="1"/>
      </iconSet>
    </cfRule>
  </conditionalFormatting>
  <conditionalFormatting sqref="DI12:DI1048576">
    <cfRule type="iconSet" priority="10">
      <iconSet showValue="0">
        <cfvo type="percent" val="0"/>
        <cfvo type="num" val="0"/>
        <cfvo type="num" val="1"/>
      </iconSet>
    </cfRule>
  </conditionalFormatting>
  <conditionalFormatting sqref="DW12:DW1048576">
    <cfRule type="iconSet" priority="9">
      <iconSet showValue="0">
        <cfvo type="percent" val="0"/>
        <cfvo type="num" val="0"/>
        <cfvo type="num" val="1"/>
      </iconSet>
    </cfRule>
  </conditionalFormatting>
  <conditionalFormatting sqref="EK12:EK1048576">
    <cfRule type="iconSet" priority="8">
      <iconSet showValue="0">
        <cfvo type="percent" val="0"/>
        <cfvo type="num" val="0"/>
        <cfvo type="num" val="1"/>
      </iconSet>
    </cfRule>
  </conditionalFormatting>
  <conditionalFormatting sqref="BU12:BU1048576">
    <cfRule type="iconSet" priority="7">
      <iconSet showValue="0">
        <cfvo type="percent" val="0"/>
        <cfvo type="num" val="0"/>
        <cfvo type="num" val="1"/>
      </iconSet>
    </cfRule>
  </conditionalFormatting>
  <conditionalFormatting sqref="CI12:CI1048576">
    <cfRule type="iconSet" priority="6">
      <iconSet showValue="0">
        <cfvo type="percent" val="0"/>
        <cfvo type="num" val="0"/>
        <cfvo type="num" val="1"/>
      </iconSet>
    </cfRule>
  </conditionalFormatting>
  <conditionalFormatting sqref="CW12:CW1048576">
    <cfRule type="iconSet" priority="5">
      <iconSet showValue="0">
        <cfvo type="percent" val="0"/>
        <cfvo type="num" val="0"/>
        <cfvo type="num" val="1"/>
      </iconSet>
    </cfRule>
  </conditionalFormatting>
  <conditionalFormatting sqref="DK12:DK1048576">
    <cfRule type="iconSet" priority="4">
      <iconSet showValue="0">
        <cfvo type="percent" val="0"/>
        <cfvo type="num" val="0"/>
        <cfvo type="num" val="1"/>
      </iconSet>
    </cfRule>
  </conditionalFormatting>
  <conditionalFormatting sqref="DY12:DY1048576">
    <cfRule type="iconSet" priority="3">
      <iconSet showValue="0">
        <cfvo type="percent" val="0"/>
        <cfvo type="num" val="0"/>
        <cfvo type="num" val="1"/>
      </iconSet>
    </cfRule>
  </conditionalFormatting>
  <conditionalFormatting sqref="ET12:EU1048576">
    <cfRule type="iconSet" priority="2">
      <iconSet showValue="0">
        <cfvo type="percent" val="0"/>
        <cfvo type="num" val="0"/>
        <cfvo type="num" val="1"/>
      </iconSet>
    </cfRule>
  </conditionalFormatting>
  <conditionalFormatting sqref="B12:C1048576">
    <cfRule type="iconSet" priority="1">
      <iconSet showValue="0" reverse="1">
        <cfvo type="percent" val="0"/>
        <cfvo type="num" val="0"/>
        <cfvo type="num" val="1"/>
      </iconSet>
    </cfRule>
  </conditionalFormatting>
  <dataValidations count="1">
    <dataValidation type="list" allowBlank="1" showInputMessage="1" showErrorMessage="1" sqref="N48 P44 P67 P66 N14 N16 N18 N20 N22 N24 N26 N28 N30 N32 N34 N36 N38 N40 N42 N44 N46 N50 N52 N54 N56 N58 N60 N62 N64 N66 P14 P16 P18 P20 P22 P24 P26 P28 P30 P32 P34 P36 P38 P40 P42 P48 P49 P50 P51 P52 P53:P55 P56 P57 P58 P59 P60 P61:P63 P64 P65 N19">
      <formula1>konfigurationAusprägung</formula1>
    </dataValidation>
  </dataValidations>
  <pageMargins left="0.7" right="0.7" top="0.78740157499999996" bottom="0.78740157499999996"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52" r:id="rId4" name="Dropdown_Seitenwaehler01">
              <controlPr defaultSize="0" autoLine="0" autoPict="0" macro="[0]!seitenwähler">
                <anchor moveWithCells="1">
                  <from>
                    <xdr:col>1</xdr:col>
                    <xdr:colOff>0</xdr:colOff>
                    <xdr:row>3</xdr:row>
                    <xdr:rowOff>0</xdr:rowOff>
                  </from>
                  <to>
                    <xdr:col>2</xdr:col>
                    <xdr:colOff>428625</xdr:colOff>
                    <xdr:row>3</xdr:row>
                    <xdr:rowOff>190500</xdr:rowOff>
                  </to>
                </anchor>
              </controlPr>
            </control>
          </mc:Choice>
        </mc:AlternateContent>
        <mc:AlternateContent xmlns:mc="http://schemas.openxmlformats.org/markup-compatibility/2006">
          <mc:Choice Requires="x14">
            <control shapeId="1158" r:id="rId5" name="Dropdown_Sprachwaehler01">
              <controlPr defaultSize="0" autoLine="0" autoPict="0" macro="[0]!toDosNachSprachwechsel">
                <anchor moveWithCells="1">
                  <from>
                    <xdr:col>1</xdr:col>
                    <xdr:colOff>0</xdr:colOff>
                    <xdr:row>2</xdr:row>
                    <xdr:rowOff>0</xdr:rowOff>
                  </from>
                  <to>
                    <xdr:col>2</xdr:col>
                    <xdr:colOff>428625</xdr:colOff>
                    <xdr:row>3</xdr:row>
                    <xdr:rowOff>0</xdr:rowOff>
                  </to>
                </anchor>
              </controlPr>
            </control>
          </mc:Choice>
        </mc:AlternateContent>
        <mc:AlternateContent xmlns:mc="http://schemas.openxmlformats.org/markup-compatibility/2006">
          <mc:Choice Requires="x14">
            <control shapeId="1168" r:id="rId6" name="Dropdown_Aktionenwaehler01">
              <controlPr defaultSize="0" autoLine="0" autoPict="0" macro="[0]!Tabelle1.aktionswähler">
                <anchor moveWithCells="1">
                  <from>
                    <xdr:col>4</xdr:col>
                    <xdr:colOff>9525</xdr:colOff>
                    <xdr:row>3</xdr:row>
                    <xdr:rowOff>0</xdr:rowOff>
                  </from>
                  <to>
                    <xdr:col>6</xdr:col>
                    <xdr:colOff>714375</xdr:colOff>
                    <xdr:row>3</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8">
        <x14:dataValidation type="list" allowBlank="1" showInputMessage="1" showErrorMessage="1">
          <x14:formula1>
            <xm:f>Basisparameter!$A$12:$A$13</xm:f>
          </x14:formula1>
          <xm:sqref>B12:B1048564</xm:sqref>
        </x14:dataValidation>
        <x14:dataValidation type="list" allowBlank="1" showInputMessage="1" showErrorMessage="1">
          <x14:formula1>
            <xm:f>Basisparameter!$B$12:$B$13</xm:f>
          </x14:formula1>
          <xm:sqref>C12:C1048564</xm:sqref>
        </x14:dataValidation>
        <x14:dataValidation type="list" allowBlank="1" showInputMessage="1" showErrorMessage="1">
          <x14:formula1>
            <xm:f>Basisparameter!$C$12:$C$13</xm:f>
          </x14:formula1>
          <xm:sqref>D12:D1048564</xm:sqref>
        </x14:dataValidation>
        <x14:dataValidation type="list" allowBlank="1" showInputMessage="1" showErrorMessage="1">
          <x14:formula1>
            <xm:f>Basisparameter!$D$12:$D$17</xm:f>
          </x14:formula1>
          <xm:sqref>F12:F1048564</xm:sqref>
        </x14:dataValidation>
        <x14:dataValidation type="list" allowBlank="1" showInputMessage="1" showErrorMessage="1">
          <x14:formula1>
            <xm:f>Konfiguration!$A$12:$A$1048564</xm:f>
          </x14:formula1>
          <xm:sqref>I12:I1048564</xm:sqref>
        </x14:dataValidation>
        <x14:dataValidation type="list" allowBlank="1" showInputMessage="1" showErrorMessage="1">
          <x14:formula1>
            <xm:f>Konfiguration!$B$12:$B$1048564</xm:f>
          </x14:formula1>
          <xm:sqref>M12:M1048564 O12:O1048564 Q12:Q1048564 S12:S1048564 U12:U1048564 W12:W1048564 Y12:Y1048564 AA12:AA1048564 AC12:AC1048564 AE12:AE1048564 AG12:AG1048564 AI12:AI1048564 AK12:AK1048564 AM12:AM1048564 AO12:AO1048564 AQ12:AQ1048564 AS12:AS1048564 AU12:AU1048564 AW12:AW1048564 AY12:AY1048564</xm:sqref>
        </x14:dataValidation>
        <x14:dataValidation type="list" allowBlank="1" showInputMessage="1" showErrorMessage="1">
          <x14:formula1>
            <xm:f>Konfiguration!$C$12:$C$1048564</xm:f>
          </x14:formula1>
          <xm:sqref>AZ12:AZ1048564 N49 R12:R1048564 T12:T1048564 V12:V1048564 X12:X1048564 Z12:Z1048564 AB12:AB1048564 AD12:AD1048564 AF12:AF1048564 AH12:AH1048564 AJ12:AJ1048564 AL12:AL1048564 AN12:AN1048564 AP12:AP1048564 AR12:AR1048564 AT12:AT1048564 AV12:AV1048564 AX12:AX1048564 P69:P1048564 N69:N1048564 N12:N13 N15 N17 P45:P47 N21 N23 N25 N27 N29 N31 N33 N35 N37 N39 N41 N43 N45 N47 N51 N53 N55 N57 N59 N61 N63 N65 N67 P12:P13 P15 P17 P19 P21 P23 P25 P27 P29 P31 P33 P35 P37 P39 P41 P43</xm:sqref>
        </x14:dataValidation>
        <x14:dataValidation type="list" allowBlank="1" showInputMessage="1" showErrorMessage="1">
          <x14:formula1>
            <xm:f>Basisparameter!$E$12:$E$15</xm:f>
          </x14:formula1>
          <xm:sqref>BH12:BH1048564 BX12:BX1048564 CL12:CL1048564 CZ12:CZ1048564 DN12:DN1048564 EB12:EB1048564</xm:sqref>
        </x14:dataValidation>
        <x14:dataValidation type="list" allowBlank="1" showInputMessage="1" showErrorMessage="1">
          <x14:formula1>
            <xm:f>Basisparameter!$L$12:$L$13</xm:f>
          </x14:formula1>
          <xm:sqref>BJ12:BJ1048564 BY12:BY1048564 CM12:CM1048564 DA12:DA1048564 DO12:DO1048564 EC12:EC1048564</xm:sqref>
        </x14:dataValidation>
        <x14:dataValidation type="list" allowBlank="1" showInputMessage="1" showErrorMessage="1">
          <x14:formula1>
            <xm:f>Basisparameter!$M$12:$M$15</xm:f>
          </x14:formula1>
          <xm:sqref>BK12:BK1048564 BZ12:BZ1048564 CN12:CN1048564 DB12:DB1048564 DP12:DP1048564 ED12:ED1048564</xm:sqref>
        </x14:dataValidation>
        <x14:dataValidation type="list" allowBlank="1" showInputMessage="1" showErrorMessage="1">
          <x14:formula1>
            <xm:f>Basisparameter!$N$12:$N$16</xm:f>
          </x14:formula1>
          <xm:sqref>BL12:BL1048564 CA12:CA1048564 CO12:CO1048564 DC12:DC1048564 DQ12:DQ1048564 EE12:EE1048564</xm:sqref>
        </x14:dataValidation>
        <x14:dataValidation type="list" allowBlank="1" showInputMessage="1" showErrorMessage="1">
          <x14:formula1>
            <xm:f>Basisparameter!$O$12:$O$13</xm:f>
          </x14:formula1>
          <xm:sqref>BM12:BM1048564 CB12:CB1048564 CP12:CP1048564 DD12:DD1048564 DR12:DR1048564 EF12:EF1048564</xm:sqref>
        </x14:dataValidation>
        <x14:dataValidation type="list" allowBlank="1" showInputMessage="1" showErrorMessage="1">
          <x14:formula1>
            <xm:f>Basisparameter!$F$12:$F$15</xm:f>
          </x14:formula1>
          <xm:sqref>BR12:BR1048564 CF12:CF1048564 CT12:CT1048564 DH12:DH1048564 DV12:DV1048564 EJ12:EJ1048564</xm:sqref>
        </x14:dataValidation>
        <x14:dataValidation type="list" allowBlank="1" showInputMessage="1" showErrorMessage="1">
          <x14:formula1>
            <xm:f>Basisparameter!$G$12:$G$13</xm:f>
          </x14:formula1>
          <xm:sqref>BS12:BS1048564 CG12:CG1048564 CU12:CU1048564 DI12:DI1048564 DW12:DW1048564 EK12:EK1048564</xm:sqref>
        </x14:dataValidation>
        <x14:dataValidation type="list" allowBlank="1" showInputMessage="1" showErrorMessage="1">
          <x14:formula1>
            <xm:f>Basisparameter!$K$12:$K$13</xm:f>
          </x14:formula1>
          <xm:sqref>BU12:BU1048564 CI12:CI1048564 CW12:CW1048564 DK12:DK1048564 DY12:DY1048564</xm:sqref>
        </x14:dataValidation>
        <x14:dataValidation type="list" allowBlank="1" showInputMessage="1" showErrorMessage="1">
          <x14:formula1>
            <xm:f>Konfiguration!$F$12:$F$1048564</xm:f>
          </x14:formula1>
          <xm:sqref>EM12:EM1048564</xm:sqref>
        </x14:dataValidation>
        <x14:dataValidation type="list" allowBlank="1" showInputMessage="1" showErrorMessage="1">
          <x14:formula1>
            <xm:f>Basisparameter!$H$12:$H$15</xm:f>
          </x14:formula1>
          <xm:sqref>EO12:EO1048564</xm:sqref>
        </x14:dataValidation>
        <x14:dataValidation type="list" allowBlank="1" showInputMessage="1" showErrorMessage="1">
          <x14:formula1>
            <xm:f>Konfiguration!$G$12:$G$1048564</xm:f>
          </x14:formula1>
          <xm:sqref>EP12:EP1048564</xm:sqref>
        </x14:dataValidation>
        <x14:dataValidation type="list" allowBlank="1" showInputMessage="1" showErrorMessage="1">
          <x14:formula1>
            <xm:f>Konfiguration!$H$12:$H$1048564</xm:f>
          </x14:formula1>
          <xm:sqref>EQ12:EQ1048564</xm:sqref>
        </x14:dataValidation>
        <x14:dataValidation type="list" allowBlank="1" showInputMessage="1" showErrorMessage="1">
          <x14:formula1>
            <xm:f>Basisparameter!$I$12:$I$13</xm:f>
          </x14:formula1>
          <xm:sqref>ET12:ET1048564</xm:sqref>
        </x14:dataValidation>
        <x14:dataValidation type="list" allowBlank="1" showInputMessage="1" showErrorMessage="1">
          <x14:formula1>
            <xm:f>Basisparameter!$J$12:$J$13</xm:f>
          </x14:formula1>
          <xm:sqref>EU12:EU1048564</xm:sqref>
        </x14:dataValidation>
        <x14:dataValidation type="list" allowBlank="1" showInputMessage="1" showErrorMessage="1">
          <x14:formula1>
            <xm:f>Konfiguration!$I$12:$I$1048564</xm:f>
          </x14:formula1>
          <xm:sqref>EZ12:EZ1048564</xm:sqref>
        </x14:dataValidation>
        <x14:dataValidation type="list" allowBlank="1" showInputMessage="1" showErrorMessage="1">
          <x14:formula1>
            <xm:f>Konfiguration!$J$12:$J$1048564</xm:f>
          </x14:formula1>
          <xm:sqref>FB12:FB1048564</xm:sqref>
        </x14:dataValidation>
        <x14:dataValidation type="list" allowBlank="1" showInputMessage="1" showErrorMessage="1">
          <x14:formula1>
            <xm:f>Konfiguration!$K$12:$K$1048564</xm:f>
          </x14:formula1>
          <xm:sqref>FC12:FC1048564</xm:sqref>
        </x14:dataValidation>
        <x14:dataValidation type="list" allowBlank="1" showInputMessage="1" showErrorMessage="1">
          <x14:formula1>
            <xm:f>Konfiguration!$D$12:$D$1048564</xm:f>
          </x14:formula1>
          <xm:sqref>BD12:BD1048564</xm:sqref>
        </x14:dataValidation>
        <x14:dataValidation type="list" allowBlank="1" showInputMessage="1" showErrorMessage="1">
          <x14:formula1>
            <xm:f>Konfiguration!$E$12:$E$1048564</xm:f>
          </x14:formula1>
          <xm:sqref>BV12:BV1048564 CJ12:CJ1048564 CX12:CX1048564 DL12:DL1048564 DZ12:DZ1048564</xm:sqref>
        </x14:dataValidation>
        <x14:dataValidation type="list" allowBlank="1" showInputMessage="1" showErrorMessage="1">
          <x14:formula1>
            <xm:f>Konfiguration!$C$16:$C$19</xm:f>
          </x14:formula1>
          <xm:sqref>N68</xm:sqref>
        </x14:dataValidation>
        <x14:dataValidation type="list" allowBlank="1" showInputMessage="1" showErrorMessage="1">
          <x14:formula1>
            <xm:f>Konfiguration!$C$12:$C$14</xm:f>
          </x14:formula1>
          <xm:sqref>P68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AI62"/>
  <sheetViews>
    <sheetView zoomScaleNormal="100" workbookViewId="0">
      <pane ySplit="11" topLeftCell="A12" activePane="bottomLeft" state="frozenSplit"/>
      <selection pane="bottomLeft" activeCell="I15" sqref="I15"/>
    </sheetView>
  </sheetViews>
  <sheetFormatPr baseColWidth="10" defaultColWidth="11.42578125" defaultRowHeight="16.5" x14ac:dyDescent="0.3"/>
  <cols>
    <col min="1" max="1" width="17" style="89" customWidth="1"/>
    <col min="2" max="5" width="31.5703125" style="89" customWidth="1"/>
    <col min="6" max="8" width="17" style="89" customWidth="1"/>
    <col min="9" max="11" width="31.5703125" style="89" customWidth="1"/>
    <col min="12" max="12" width="11.42578125" style="9"/>
    <col min="13" max="13" width="11.42578125" style="41"/>
    <col min="14" max="14" width="2.7109375" style="9" customWidth="1"/>
    <col min="15" max="15" width="28.5703125" style="21" customWidth="1"/>
    <col min="16" max="16" width="29.42578125" style="21" hidden="1" customWidth="1"/>
    <col min="17" max="17" width="2.7109375" style="9" customWidth="1"/>
    <col min="18" max="19" width="8.85546875" style="21" customWidth="1"/>
    <col min="20" max="20" width="2.7109375" style="4" customWidth="1"/>
    <col min="21" max="21" width="17" style="21" customWidth="1"/>
    <col min="22" max="22" width="11.42578125" style="4"/>
    <col min="23" max="23" width="11.42578125" style="51"/>
    <col min="24" max="24" width="2.7109375" style="9" customWidth="1"/>
    <col min="25" max="25" width="17" style="53" customWidth="1"/>
    <col min="26" max="26" width="11.42578125" style="4"/>
    <col min="27" max="27" width="11.42578125" style="51"/>
    <col min="28" max="28" width="2.7109375" style="9" customWidth="1"/>
    <col min="29" max="29" width="31.42578125" style="53" customWidth="1"/>
    <col min="30" max="30" width="49.7109375" style="53" customWidth="1"/>
    <col min="31" max="31" width="11.42578125" style="4"/>
    <col min="32" max="32" width="11.42578125" style="150"/>
    <col min="33" max="33" width="2.7109375" style="9" customWidth="1"/>
    <col min="34" max="34" width="31.42578125" style="152" customWidth="1"/>
    <col min="35" max="35" width="45.42578125" style="152" customWidth="1"/>
    <col min="36" max="16384" width="11.42578125" style="4"/>
  </cols>
  <sheetData>
    <row r="1" spans="1:35" s="1" customFormat="1" ht="111" customHeight="1" x14ac:dyDescent="0.3"/>
    <row r="2" spans="1:35" s="1" customFormat="1" ht="37.5" customHeight="1" thickBot="1" x14ac:dyDescent="0.35">
      <c r="A2" s="6" t="str">
        <f>mehrsprachigkeitBegriffsrückgabe(gewählteSpracheZurückgeben(),"MERCONIS PRODUCT MANAGER: Your configuration")</f>
        <v>MERCONIS PRODUCT MANAGER: Konfiguration</v>
      </c>
      <c r="I2" s="94"/>
      <c r="J2" s="94"/>
      <c r="K2" s="93"/>
    </row>
    <row r="3" spans="1:35" s="1" customFormat="1" ht="15.75" customHeight="1" thickBot="1" x14ac:dyDescent="0.35">
      <c r="A3" s="147" t="str">
        <f>mehrsprachigkeitBegriffsrückgabe(gewählteSpracheZurückgeben(),"Language")</f>
        <v>Sprache</v>
      </c>
      <c r="B3" s="40"/>
    </row>
    <row r="4" spans="1:35" s="5" customFormat="1" ht="15.75" customHeight="1" thickBot="1" x14ac:dyDescent="0.3">
      <c r="A4" s="147" t="str">
        <f>mehrsprachigkeitBegriffsrückgabe(gewählteSpracheZurückgeben(),"Go to page")</f>
        <v>Gehe zu Seite</v>
      </c>
      <c r="B4" s="40">
        <v>1</v>
      </c>
    </row>
    <row r="5" spans="1:35" s="1" customFormat="1" ht="6" customHeight="1" thickBot="1" x14ac:dyDescent="0.35"/>
    <row r="6" spans="1:35" s="1" customFormat="1" ht="17.25" hidden="1" customHeight="1" x14ac:dyDescent="0.3">
      <c r="B6" s="1">
        <v>1</v>
      </c>
      <c r="C6" s="1">
        <v>1</v>
      </c>
    </row>
    <row r="7" spans="1:35" s="1" customFormat="1" ht="16.5" hidden="1" customHeight="1" x14ac:dyDescent="0.3"/>
    <row r="8" spans="1:35" s="10" customFormat="1" ht="16.5" hidden="1" customHeight="1" x14ac:dyDescent="0.3">
      <c r="O8" s="1"/>
      <c r="P8" s="1"/>
      <c r="R8" s="1"/>
      <c r="S8" s="1"/>
      <c r="U8" s="1"/>
      <c r="Y8" s="1"/>
      <c r="AC8" s="1"/>
      <c r="AD8" s="1"/>
      <c r="AH8" s="1"/>
      <c r="AI8" s="1"/>
    </row>
    <row r="9" spans="1:35" s="10" customFormat="1" ht="16.5" hidden="1" customHeight="1" x14ac:dyDescent="0.3">
      <c r="O9" s="1"/>
      <c r="P9" s="1"/>
      <c r="R9" s="1"/>
      <c r="S9" s="1"/>
      <c r="U9" s="1"/>
      <c r="Y9" s="1"/>
      <c r="AC9" s="1"/>
      <c r="AD9" s="1"/>
      <c r="AH9" s="1"/>
      <c r="AI9" s="1"/>
    </row>
    <row r="10" spans="1:35" s="10" customFormat="1" ht="17.25" hidden="1" customHeight="1" thickBot="1" x14ac:dyDescent="0.25">
      <c r="A10" s="10" t="s">
        <v>6</v>
      </c>
      <c r="B10" s="10" t="s">
        <v>73</v>
      </c>
      <c r="C10" s="10" t="s">
        <v>74</v>
      </c>
      <c r="D10" s="10" t="s">
        <v>50</v>
      </c>
      <c r="F10" s="10" t="s">
        <v>56</v>
      </c>
      <c r="G10" s="10" t="s">
        <v>59</v>
      </c>
      <c r="H10" s="10" t="s">
        <v>60</v>
      </c>
      <c r="I10" s="10" t="s">
        <v>69</v>
      </c>
      <c r="J10" s="10" t="s">
        <v>91</v>
      </c>
      <c r="K10" s="10" t="s">
        <v>71</v>
      </c>
      <c r="O10" s="10" t="s">
        <v>88</v>
      </c>
      <c r="P10" s="10" t="s">
        <v>89</v>
      </c>
      <c r="R10" s="10" t="s">
        <v>79</v>
      </c>
      <c r="S10" s="10" t="s">
        <v>80</v>
      </c>
      <c r="U10" s="10" t="s">
        <v>81</v>
      </c>
      <c r="Y10" s="10" t="s">
        <v>82</v>
      </c>
      <c r="AC10" s="10" t="s">
        <v>83</v>
      </c>
      <c r="AD10" s="10" t="s">
        <v>84</v>
      </c>
      <c r="AH10" s="10" t="s">
        <v>86</v>
      </c>
      <c r="AI10" s="10" t="s">
        <v>85</v>
      </c>
    </row>
    <row r="11" spans="1:35" s="3" customFormat="1" ht="32.25" customHeight="1" thickBot="1" x14ac:dyDescent="0.3">
      <c r="A11" s="148" t="str">
        <f>mehrsprachigkeitBegriffsrückgabe(gewählteSpracheZurückgeben(),"Language")</f>
        <v>Sprache</v>
      </c>
      <c r="B11" s="148" t="str">
        <f>mehrsprachigkeitBegriffsrückgabe(gewählteSpracheZurückgeben(),"Property")</f>
        <v>Merkmal</v>
      </c>
      <c r="C11" s="148" t="str">
        <f>mehrsprachigkeitBegriffsrückgabe(gewählteSpracheZurückgeben(),"Value")</f>
        <v>Ausprägung</v>
      </c>
      <c r="D11" s="148" t="str">
        <f>mehrsprachigkeitBegriffsrückgabe(gewählteSpracheZurückgeben(),"Category")</f>
        <v>Kategorie</v>
      </c>
      <c r="E11" s="148" t="str">
        <f>mehrsprachigkeitBegriffsrückgabe(gewählteSpracheZurückgeben(),"Member groups")</f>
        <v>Mitgliedergruppen</v>
      </c>
      <c r="F11" s="148" t="str">
        <f>mehrsprachigkeitBegriffsrückgabe(gewählteSpracheZurückgeben(),"Tax class")</f>
        <v>Steuersatz</v>
      </c>
      <c r="G11" s="148" t="str">
        <f>mehrsprachigkeitBegriffsrückgabe(gewählteSpracheZurückgeben(),"Unit")</f>
        <v>Mengeneinheit</v>
      </c>
      <c r="H11" s="148" t="str">
        <f>mehrsprachigkeitBegriffsrückgabe(gewählteSpracheZurückgeben(),"Quantity comparison unit")</f>
        <v>Einheit für Mengenvergleichspreis</v>
      </c>
      <c r="I11" s="148" t="str">
        <f>mehrsprachigkeitBegriffsrückgabe(gewählteSpracheZurückgeben(),"Settings for stock and delivery time")</f>
        <v>Einstellungen zu Lagerbestand und Lieferzeit</v>
      </c>
      <c r="J11" s="148" t="str">
        <f>mehrsprachigkeitBegriffsrückgabe(gewählteSpracheZurückgeben(),"Configurator")</f>
        <v>Konfigurator</v>
      </c>
      <c r="K11" s="148" t="str">
        <f>mehrsprachigkeitBegriffsrückgabe(gewählteSpracheZurückgeben(),"Template")</f>
        <v>Template für Produktdarstellung</v>
      </c>
      <c r="M11" s="174" t="str">
        <f>mehrsprachigkeitBegriffsrückgabe(gewählteSpracheZurückgeben(),"Export")</f>
        <v>Export</v>
      </c>
      <c r="O11" s="55" t="str">
        <f>mehrsprachigkeitBegriffsrückgabe(gewählteSpracheZurückgeben(),"Content transformation")</f>
        <v>Umwandlung des Inhaltes</v>
      </c>
      <c r="P11" s="54" t="str">
        <f>mehrsprachigkeitBegriffsrückgabe(gewählteSpracheZurückgeben(),"Content transformation on/off")</f>
        <v>Umwandlung des Inhaltes an/aus</v>
      </c>
      <c r="R11" s="172" t="str">
        <f>mehrsprachigkeitBegriffsrückgabe(gewählteSpracheZurückgeben(),"Transformation: Font size")</f>
        <v>Umwandlung: Schriftgröße</v>
      </c>
      <c r="S11" s="173"/>
      <c r="U11" s="42" t="str">
        <f>mehrsprachigkeitBegriffsrückgabe(gewählteSpracheZurückgeben(),"Font style: Standard size")</f>
        <v>Schriftformat: Standardgröße</v>
      </c>
      <c r="W11" s="175" t="str">
        <f>mehrsprachigkeitBegriffsrückgabe(gewählteSpracheZurückgeben(),"Usability")</f>
        <v>Bedienung</v>
      </c>
      <c r="Y11" s="52" t="str">
        <f>mehrsprachigkeitBegriffsrückgabe(gewählteSpracheZurückgeben(),"Auto row height")</f>
        <v>Automatische Zeilenhöhe</v>
      </c>
      <c r="AA11" s="175" t="str">
        <f>mehrsprachigkeitBegriffsrückgabe(gewählteSpracheZurückgeben(),"VariantCreator" )</f>
        <v>VariantCreator</v>
      </c>
      <c r="AC11" s="52" t="str">
        <f>mehrsprachigkeitBegriffsrückgabe(gewählteSpracheZurückgeben(),"VariantCreator Settings")</f>
        <v>VariantCreator Einstellungen</v>
      </c>
      <c r="AD11" s="52" t="str">
        <f>mehrsprachigkeitBegriffsrückgabe(gewählteSpracheZurückgeben(),"VariantCreator Setting Values")</f>
        <v>VariantCreator Einstellungswerte</v>
      </c>
      <c r="AF11" s="176" t="str">
        <f>mehrsprachigkeitBegriffsrückgabe(gewählteSpracheZurückgeben(),"Own (text-)templates" )</f>
        <v>Eigene (Text-)vorlagen</v>
      </c>
      <c r="AH11" s="151" t="str">
        <f>mehrsprachigkeitBegriffsrückgabe(gewählteSpracheZurückgeben(),"Name of (Text-)template")</f>
        <v>Name der (Text-)Vorlage</v>
      </c>
      <c r="AI11" s="151" t="str">
        <f>mehrsprachigkeitBegriffsrückgabe(gewählteSpracheZurückgeben(),"Text of (Text-)template")</f>
        <v>Text der (Text-)Vorlage</v>
      </c>
    </row>
    <row r="12" spans="1:35" ht="18" customHeight="1" x14ac:dyDescent="0.3">
      <c r="A12" s="149" t="s">
        <v>87</v>
      </c>
      <c r="B12" s="89" t="s">
        <v>343</v>
      </c>
      <c r="C12" s="89" t="s">
        <v>94</v>
      </c>
      <c r="D12" s="149" t="s">
        <v>244</v>
      </c>
      <c r="E12" s="149" t="s">
        <v>256</v>
      </c>
      <c r="F12" s="149" t="s">
        <v>169</v>
      </c>
      <c r="G12" s="149" t="s">
        <v>77</v>
      </c>
      <c r="H12" s="149"/>
      <c r="I12" s="149" t="s">
        <v>347</v>
      </c>
      <c r="J12" s="149" t="s">
        <v>171</v>
      </c>
      <c r="K12" s="149"/>
      <c r="M12" s="174"/>
      <c r="O12" s="92" t="str">
        <f>mehrsprachigkeitBegriffsrückgabe(gewählteSpracheZurückgeben(),"Font style: Bold")</f>
        <v>Schriftformat: Fett</v>
      </c>
      <c r="P12" s="21" t="b">
        <v>0</v>
      </c>
      <c r="R12" s="21">
        <v>8</v>
      </c>
      <c r="T12" s="9"/>
      <c r="U12" s="21">
        <v>10</v>
      </c>
      <c r="V12" s="9"/>
      <c r="W12" s="175"/>
      <c r="Y12" s="53">
        <v>16</v>
      </c>
      <c r="Z12" s="9"/>
      <c r="AA12" s="175"/>
      <c r="AC12" s="61" t="s">
        <v>78</v>
      </c>
      <c r="AD12" s="53" t="s">
        <v>340</v>
      </c>
      <c r="AF12" s="176"/>
    </row>
    <row r="13" spans="1:35" ht="18" customHeight="1" x14ac:dyDescent="0.3">
      <c r="A13" s="89" t="s">
        <v>102</v>
      </c>
      <c r="C13" s="89" t="s">
        <v>344</v>
      </c>
      <c r="D13" s="149" t="s">
        <v>245</v>
      </c>
      <c r="E13" s="149" t="s">
        <v>257</v>
      </c>
      <c r="F13" s="89" t="s">
        <v>170</v>
      </c>
      <c r="G13" s="89" t="s">
        <v>104</v>
      </c>
      <c r="I13" s="89" t="s">
        <v>348</v>
      </c>
      <c r="J13" s="149"/>
      <c r="M13" s="174"/>
      <c r="O13" s="92" t="str">
        <f>mehrsprachigkeitBegriffsrückgabe(gewählteSpracheZurückgeben(),"Font style: Italic")</f>
        <v>Schriftformat: Kursiv</v>
      </c>
      <c r="P13" s="21" t="b">
        <v>0</v>
      </c>
      <c r="R13" s="21">
        <v>9</v>
      </c>
      <c r="T13" s="9"/>
      <c r="V13" s="9"/>
      <c r="W13" s="175"/>
      <c r="Z13" s="9"/>
      <c r="AA13" s="175"/>
      <c r="AC13" s="53" t="s">
        <v>151</v>
      </c>
      <c r="AD13" s="53" t="s">
        <v>237</v>
      </c>
      <c r="AF13" s="176"/>
    </row>
    <row r="14" spans="1:35" ht="18" customHeight="1" x14ac:dyDescent="0.3">
      <c r="C14" s="89" t="s">
        <v>345</v>
      </c>
      <c r="D14" s="149" t="s">
        <v>246</v>
      </c>
      <c r="E14" s="149"/>
      <c r="I14" s="89" t="s">
        <v>349</v>
      </c>
      <c r="M14" s="174"/>
      <c r="O14" s="92" t="str">
        <f>mehrsprachigkeitBegriffsrückgabe(gewählteSpracheZurückgeben(),"Font style: Underline")</f>
        <v>Schriftformat: Unterstrichen</v>
      </c>
      <c r="P14" s="21" t="b">
        <v>0</v>
      </c>
      <c r="R14" s="21">
        <v>10</v>
      </c>
      <c r="T14" s="9"/>
      <c r="V14" s="9"/>
      <c r="W14" s="175"/>
      <c r="Z14" s="9"/>
      <c r="AA14" s="175"/>
      <c r="AF14" s="176"/>
    </row>
    <row r="15" spans="1:35" ht="18" customHeight="1" x14ac:dyDescent="0.3">
      <c r="D15" s="149" t="s">
        <v>247</v>
      </c>
      <c r="E15" s="149"/>
      <c r="I15" s="89" t="s">
        <v>346</v>
      </c>
      <c r="M15" s="174"/>
      <c r="O15" s="92" t="str">
        <f>mehrsprachigkeitBegriffsrückgabe(gewählteSpracheZurückgeben(),"Font style: Color")</f>
        <v>Schriftformat: Farbe</v>
      </c>
      <c r="P15" s="21" t="b">
        <v>0</v>
      </c>
      <c r="R15" s="21">
        <v>11</v>
      </c>
      <c r="T15" s="9"/>
      <c r="V15" s="9"/>
      <c r="W15" s="175"/>
      <c r="Z15" s="9"/>
      <c r="AA15" s="175"/>
      <c r="AF15" s="176"/>
    </row>
    <row r="16" spans="1:35" ht="18" customHeight="1" x14ac:dyDescent="0.3">
      <c r="B16" s="89" t="s">
        <v>342</v>
      </c>
      <c r="C16" s="89" t="s">
        <v>239</v>
      </c>
      <c r="D16" s="149" t="s">
        <v>248</v>
      </c>
      <c r="E16" s="149"/>
      <c r="M16" s="174"/>
      <c r="O16" s="92" t="str">
        <f>mehrsprachigkeitBegriffsrückgabe(gewählteSpracheZurückgeben(),"Font style: Size")</f>
        <v>Schriftformat: Größe</v>
      </c>
      <c r="P16" s="21" t="b">
        <v>0</v>
      </c>
      <c r="R16" s="21">
        <v>12</v>
      </c>
      <c r="S16" s="21">
        <v>2</v>
      </c>
      <c r="T16" s="9"/>
      <c r="V16" s="9"/>
      <c r="W16" s="175"/>
      <c r="Z16" s="9"/>
      <c r="AA16" s="175"/>
      <c r="AF16" s="176"/>
    </row>
    <row r="17" spans="3:32" x14ac:dyDescent="0.3">
      <c r="C17" s="89" t="s">
        <v>240</v>
      </c>
      <c r="D17" s="149" t="s">
        <v>249</v>
      </c>
      <c r="E17" s="149"/>
      <c r="M17" s="174"/>
      <c r="O17" s="92" t="str">
        <f>mehrsprachigkeitBegriffsrückgabe(gewählteSpracheZurückgeben(),"Font style: Line break")</f>
        <v>Schriftformat: Zeilenumbruch</v>
      </c>
      <c r="P17" s="21" t="b">
        <v>1</v>
      </c>
      <c r="R17" s="21">
        <v>13</v>
      </c>
      <c r="T17" s="9"/>
      <c r="V17" s="9"/>
      <c r="W17" s="175"/>
      <c r="Z17" s="9"/>
      <c r="AA17" s="175"/>
      <c r="AF17" s="176"/>
    </row>
    <row r="18" spans="3:32" x14ac:dyDescent="0.3">
      <c r="C18" s="89" t="s">
        <v>241</v>
      </c>
      <c r="D18" s="89" t="s">
        <v>250</v>
      </c>
      <c r="M18" s="174"/>
      <c r="O18" s="92" t="str">
        <f>mehrsprachigkeitBegriffsrückgabe(gewählteSpracheZurückgeben(),"Method: Words (faster)")</f>
        <v>Methode: Wörter (schneller)</v>
      </c>
      <c r="P18" s="21" t="b">
        <v>0</v>
      </c>
      <c r="R18" s="21">
        <v>14</v>
      </c>
      <c r="T18" s="9"/>
      <c r="V18" s="9"/>
      <c r="W18" s="175"/>
      <c r="Z18" s="9"/>
      <c r="AA18" s="175"/>
      <c r="AF18" s="176"/>
    </row>
    <row r="19" spans="3:32" x14ac:dyDescent="0.3">
      <c r="C19" s="89" t="s">
        <v>242</v>
      </c>
      <c r="M19" s="174"/>
      <c r="O19" s="92" t="str">
        <f>mehrsprachigkeitBegriffsrückgabe(gewählteSpracheZurückgeben(),"Deactivate transformation")</f>
        <v>Umwandlung deaktivieren</v>
      </c>
      <c r="P19" s="21" t="b">
        <v>0</v>
      </c>
      <c r="R19" s="21">
        <v>15</v>
      </c>
      <c r="T19" s="9"/>
      <c r="V19" s="9"/>
      <c r="W19" s="175"/>
      <c r="Z19" s="9"/>
      <c r="AA19" s="175"/>
      <c r="AF19" s="176"/>
    </row>
    <row r="20" spans="3:32" x14ac:dyDescent="0.3">
      <c r="M20" s="174"/>
      <c r="R20" s="21">
        <v>16</v>
      </c>
      <c r="T20" s="9"/>
      <c r="V20" s="9"/>
      <c r="W20" s="175"/>
      <c r="Z20" s="9"/>
      <c r="AA20" s="175"/>
      <c r="AF20" s="176"/>
    </row>
    <row r="21" spans="3:32" x14ac:dyDescent="0.3">
      <c r="M21" s="174"/>
      <c r="R21" s="21">
        <v>17</v>
      </c>
      <c r="T21" s="9"/>
      <c r="V21" s="9"/>
      <c r="W21" s="175"/>
      <c r="Z21" s="9"/>
      <c r="AA21" s="175"/>
      <c r="AF21" s="176"/>
    </row>
    <row r="22" spans="3:32" x14ac:dyDescent="0.3">
      <c r="M22" s="174"/>
      <c r="R22" s="21">
        <v>18</v>
      </c>
      <c r="T22" s="9"/>
      <c r="V22" s="9"/>
      <c r="W22" s="175"/>
      <c r="Z22" s="9"/>
      <c r="AA22" s="175"/>
      <c r="AF22" s="176"/>
    </row>
    <row r="23" spans="3:32" x14ac:dyDescent="0.3">
      <c r="M23" s="174"/>
      <c r="R23" s="21">
        <v>19</v>
      </c>
      <c r="T23" s="9"/>
      <c r="V23" s="9"/>
      <c r="W23" s="175"/>
      <c r="Z23" s="9"/>
      <c r="AA23" s="175"/>
      <c r="AF23" s="176"/>
    </row>
    <row r="24" spans="3:32" x14ac:dyDescent="0.3">
      <c r="M24" s="174"/>
      <c r="R24" s="21">
        <v>20</v>
      </c>
      <c r="T24" s="9"/>
      <c r="V24" s="9"/>
      <c r="W24" s="175"/>
      <c r="Z24" s="9"/>
      <c r="AA24" s="175"/>
      <c r="AF24" s="176"/>
    </row>
    <row r="25" spans="3:32" x14ac:dyDescent="0.3">
      <c r="M25" s="174"/>
      <c r="R25" s="21">
        <v>21</v>
      </c>
      <c r="T25" s="9"/>
      <c r="V25" s="9"/>
      <c r="W25" s="175"/>
      <c r="Z25" s="9"/>
      <c r="AA25" s="175"/>
      <c r="AF25" s="176"/>
    </row>
    <row r="26" spans="3:32" x14ac:dyDescent="0.3">
      <c r="M26" s="174"/>
      <c r="R26" s="21">
        <v>22</v>
      </c>
      <c r="T26" s="9"/>
      <c r="V26" s="9"/>
      <c r="W26" s="175"/>
      <c r="Z26" s="9"/>
      <c r="AA26" s="175"/>
      <c r="AF26" s="176"/>
    </row>
    <row r="27" spans="3:32" x14ac:dyDescent="0.3">
      <c r="M27" s="174"/>
      <c r="R27" s="21">
        <v>23</v>
      </c>
      <c r="T27" s="9"/>
      <c r="V27" s="9"/>
      <c r="W27" s="175"/>
      <c r="Z27" s="9"/>
      <c r="AA27" s="175"/>
      <c r="AF27" s="176"/>
    </row>
    <row r="28" spans="3:32" x14ac:dyDescent="0.3">
      <c r="M28" s="174"/>
      <c r="R28" s="21">
        <v>24</v>
      </c>
      <c r="T28" s="9"/>
      <c r="V28" s="9"/>
      <c r="W28" s="175"/>
      <c r="Z28" s="9"/>
      <c r="AA28" s="175"/>
      <c r="AF28" s="176"/>
    </row>
    <row r="29" spans="3:32" x14ac:dyDescent="0.3">
      <c r="M29" s="174"/>
      <c r="R29" s="21">
        <v>25</v>
      </c>
      <c r="T29" s="9"/>
      <c r="V29" s="9"/>
      <c r="W29" s="175"/>
      <c r="Z29" s="9"/>
      <c r="AA29" s="175"/>
      <c r="AF29" s="176"/>
    </row>
    <row r="30" spans="3:32" x14ac:dyDescent="0.3">
      <c r="M30" s="174"/>
      <c r="T30" s="9"/>
      <c r="V30" s="9"/>
      <c r="W30" s="175"/>
      <c r="Z30" s="9"/>
      <c r="AA30" s="175"/>
      <c r="AF30" s="176"/>
    </row>
    <row r="31" spans="3:32" x14ac:dyDescent="0.3">
      <c r="M31" s="174"/>
      <c r="T31" s="9"/>
      <c r="V31" s="9"/>
      <c r="W31" s="175"/>
      <c r="Z31" s="9"/>
      <c r="AA31" s="175"/>
      <c r="AF31" s="176"/>
    </row>
    <row r="32" spans="3:32" x14ac:dyDescent="0.3">
      <c r="M32" s="174"/>
      <c r="T32" s="9"/>
      <c r="V32" s="9"/>
      <c r="W32" s="175"/>
      <c r="Z32" s="9"/>
      <c r="AA32" s="175"/>
      <c r="AF32" s="176"/>
    </row>
    <row r="33" spans="13:32" x14ac:dyDescent="0.3">
      <c r="M33" s="174"/>
      <c r="T33" s="9"/>
      <c r="V33" s="9"/>
      <c r="W33" s="175"/>
      <c r="Z33" s="9"/>
      <c r="AA33" s="175"/>
      <c r="AF33" s="176"/>
    </row>
    <row r="34" spans="13:32" x14ac:dyDescent="0.3">
      <c r="M34" s="174"/>
      <c r="T34" s="9"/>
      <c r="V34" s="9"/>
      <c r="W34" s="175"/>
      <c r="Z34" s="9"/>
      <c r="AA34" s="175"/>
      <c r="AF34" s="176"/>
    </row>
    <row r="35" spans="13:32" x14ac:dyDescent="0.3">
      <c r="M35" s="174"/>
      <c r="T35" s="9"/>
      <c r="V35" s="9"/>
      <c r="W35" s="175"/>
      <c r="Z35" s="9"/>
      <c r="AA35" s="175"/>
      <c r="AF35" s="176"/>
    </row>
    <row r="36" spans="13:32" x14ac:dyDescent="0.3">
      <c r="M36" s="174"/>
      <c r="T36" s="9"/>
      <c r="V36" s="9"/>
      <c r="W36" s="175"/>
      <c r="Z36" s="9"/>
      <c r="AA36" s="175"/>
      <c r="AF36" s="176"/>
    </row>
    <row r="37" spans="13:32" x14ac:dyDescent="0.3">
      <c r="M37" s="174"/>
      <c r="T37" s="9"/>
      <c r="V37" s="9"/>
      <c r="W37" s="175"/>
      <c r="Z37" s="9"/>
      <c r="AA37" s="175"/>
      <c r="AF37" s="176"/>
    </row>
    <row r="38" spans="13:32" x14ac:dyDescent="0.3">
      <c r="M38" s="174"/>
      <c r="T38" s="9"/>
      <c r="V38" s="9"/>
      <c r="W38" s="175"/>
      <c r="Z38" s="9"/>
      <c r="AA38" s="175"/>
      <c r="AF38" s="176"/>
    </row>
    <row r="39" spans="13:32" x14ac:dyDescent="0.3">
      <c r="M39" s="174"/>
      <c r="T39" s="9"/>
      <c r="V39" s="9"/>
      <c r="W39" s="175"/>
      <c r="Z39" s="9"/>
      <c r="AA39" s="175"/>
      <c r="AF39" s="176"/>
    </row>
    <row r="40" spans="13:32" x14ac:dyDescent="0.3">
      <c r="M40" s="174"/>
      <c r="T40" s="9"/>
      <c r="V40" s="9"/>
      <c r="W40" s="175"/>
      <c r="Z40" s="9"/>
      <c r="AA40" s="175"/>
      <c r="AF40" s="176"/>
    </row>
    <row r="41" spans="13:32" x14ac:dyDescent="0.3">
      <c r="M41" s="174"/>
      <c r="T41" s="9"/>
      <c r="V41" s="9"/>
      <c r="W41" s="175"/>
      <c r="Z41" s="9"/>
      <c r="AA41" s="175"/>
      <c r="AF41" s="176"/>
    </row>
    <row r="42" spans="13:32" x14ac:dyDescent="0.3">
      <c r="M42" s="174"/>
      <c r="T42" s="9"/>
      <c r="V42" s="9"/>
      <c r="W42" s="175"/>
      <c r="Z42" s="9"/>
      <c r="AA42" s="175"/>
      <c r="AF42" s="176"/>
    </row>
    <row r="43" spans="13:32" x14ac:dyDescent="0.3">
      <c r="M43" s="174"/>
      <c r="T43" s="9"/>
      <c r="V43" s="9"/>
      <c r="W43" s="175"/>
      <c r="Z43" s="9"/>
      <c r="AA43" s="175"/>
      <c r="AF43" s="176"/>
    </row>
    <row r="44" spans="13:32" x14ac:dyDescent="0.3">
      <c r="M44" s="174"/>
      <c r="T44" s="9"/>
      <c r="V44" s="9"/>
      <c r="W44" s="175"/>
      <c r="Z44" s="9"/>
      <c r="AA44" s="175"/>
      <c r="AF44" s="176"/>
    </row>
    <row r="45" spans="13:32" x14ac:dyDescent="0.3">
      <c r="M45" s="174"/>
      <c r="T45" s="9"/>
      <c r="V45" s="9"/>
      <c r="W45" s="175"/>
      <c r="Z45" s="9"/>
      <c r="AA45" s="175"/>
      <c r="AF45" s="176"/>
    </row>
    <row r="46" spans="13:32" x14ac:dyDescent="0.3">
      <c r="M46" s="174"/>
      <c r="T46" s="9"/>
      <c r="V46" s="9"/>
      <c r="W46" s="175"/>
      <c r="Z46" s="9"/>
      <c r="AA46" s="175"/>
      <c r="AF46" s="176"/>
    </row>
    <row r="47" spans="13:32" x14ac:dyDescent="0.3">
      <c r="M47" s="174"/>
      <c r="W47" s="175"/>
      <c r="AA47" s="175"/>
      <c r="AF47" s="176"/>
    </row>
    <row r="48" spans="13:32" x14ac:dyDescent="0.3">
      <c r="M48" s="174"/>
      <c r="W48" s="175"/>
      <c r="AA48" s="175"/>
      <c r="AF48" s="176"/>
    </row>
    <row r="49" spans="13:32" x14ac:dyDescent="0.3">
      <c r="M49" s="174"/>
      <c r="W49" s="175"/>
      <c r="AA49" s="175"/>
      <c r="AF49" s="176"/>
    </row>
    <row r="50" spans="13:32" x14ac:dyDescent="0.3">
      <c r="M50" s="174"/>
      <c r="W50" s="175"/>
      <c r="AA50" s="175"/>
      <c r="AF50" s="176"/>
    </row>
    <row r="51" spans="13:32" x14ac:dyDescent="0.3">
      <c r="M51" s="174"/>
      <c r="W51" s="175"/>
      <c r="AA51" s="175"/>
      <c r="AF51" s="176"/>
    </row>
    <row r="52" spans="13:32" x14ac:dyDescent="0.3">
      <c r="M52" s="174"/>
      <c r="W52" s="175"/>
      <c r="AA52" s="175"/>
      <c r="AF52" s="176"/>
    </row>
    <row r="53" spans="13:32" x14ac:dyDescent="0.3">
      <c r="M53" s="174"/>
      <c r="W53" s="175"/>
      <c r="AA53" s="175"/>
      <c r="AF53" s="176"/>
    </row>
    <row r="54" spans="13:32" x14ac:dyDescent="0.3">
      <c r="M54" s="174"/>
      <c r="W54" s="175"/>
      <c r="AA54" s="175"/>
      <c r="AF54" s="176"/>
    </row>
    <row r="55" spans="13:32" x14ac:dyDescent="0.3">
      <c r="M55" s="174"/>
      <c r="W55" s="175"/>
      <c r="AA55" s="175"/>
      <c r="AF55" s="176"/>
    </row>
    <row r="56" spans="13:32" x14ac:dyDescent="0.3">
      <c r="M56" s="174"/>
      <c r="W56" s="175"/>
      <c r="AA56" s="175"/>
      <c r="AF56" s="176"/>
    </row>
    <row r="57" spans="13:32" x14ac:dyDescent="0.3">
      <c r="W57" s="175"/>
      <c r="AA57" s="175"/>
      <c r="AF57" s="176"/>
    </row>
    <row r="58" spans="13:32" x14ac:dyDescent="0.3">
      <c r="W58" s="175"/>
      <c r="AA58" s="175"/>
      <c r="AF58" s="176"/>
    </row>
    <row r="59" spans="13:32" x14ac:dyDescent="0.3">
      <c r="AA59" s="175"/>
      <c r="AF59" s="176"/>
    </row>
    <row r="60" spans="13:32" x14ac:dyDescent="0.3">
      <c r="AA60" s="175"/>
      <c r="AF60" s="176"/>
    </row>
    <row r="61" spans="13:32" x14ac:dyDescent="0.3">
      <c r="AA61" s="175"/>
      <c r="AF61" s="176"/>
    </row>
    <row r="62" spans="13:32" x14ac:dyDescent="0.3">
      <c r="AA62" s="175"/>
      <c r="AF62" s="176"/>
    </row>
  </sheetData>
  <sheetProtection algorithmName="SHA-512" hashValue="QxBzR8HLCM95Dc4E5f/ZwkSqN7wrwXQw/08OJOcpeERL9dV1KuxdpyOH+KYzjSIGJFWCV2Xwm82fazhouZk5+Q==" saltValue="SAinkK69T1K9yqZOniIOcg==" spinCount="100000" sheet="1" formatCells="0" formatColumns="0" formatRows="0" insertHyperlinks="0" selectLockedCells="1" autoFilter="0"/>
  <sortState ref="AC13:AD10000">
    <sortCondition ref="AC13"/>
  </sortState>
  <mergeCells count="5">
    <mergeCell ref="R11:S11"/>
    <mergeCell ref="M11:M56"/>
    <mergeCell ref="W11:W58"/>
    <mergeCell ref="AA11:AA62"/>
    <mergeCell ref="AF11:AF62"/>
  </mergeCells>
  <pageMargins left="0.7" right="0.7" top="0.78740157499999996" bottom="0.78740157499999996"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4871" r:id="rId4" name="Dropdown_Seitenwaehler02">
              <controlPr defaultSize="0" autoLine="0" autoPict="0" macro="[0]!seitenwähler">
                <anchor moveWithCells="1">
                  <from>
                    <xdr:col>0</xdr:col>
                    <xdr:colOff>2095500</xdr:colOff>
                    <xdr:row>3</xdr:row>
                    <xdr:rowOff>0</xdr:rowOff>
                  </from>
                  <to>
                    <xdr:col>1</xdr:col>
                    <xdr:colOff>1323975</xdr:colOff>
                    <xdr:row>4</xdr:row>
                    <xdr:rowOff>19050</xdr:rowOff>
                  </to>
                </anchor>
              </controlPr>
            </control>
          </mc:Choice>
        </mc:AlternateContent>
        <mc:AlternateContent xmlns:mc="http://schemas.openxmlformats.org/markup-compatibility/2006">
          <mc:Choice Requires="x14">
            <control shapeId="164872" r:id="rId5" name="Dropdown_Sprachwaehler02">
              <controlPr defaultSize="0" autoLine="0" autoPict="0" macro="[0]!toDosNachSprachwechsel">
                <anchor moveWithCells="1">
                  <from>
                    <xdr:col>0</xdr:col>
                    <xdr:colOff>2095500</xdr:colOff>
                    <xdr:row>1</xdr:row>
                    <xdr:rowOff>466725</xdr:rowOff>
                  </from>
                  <to>
                    <xdr:col>1</xdr:col>
                    <xdr:colOff>1323975</xdr:colOff>
                    <xdr:row>3</xdr:row>
                    <xdr:rowOff>28575</xdr:rowOff>
                  </to>
                </anchor>
              </controlPr>
            </control>
          </mc:Choice>
        </mc:AlternateContent>
        <mc:AlternateContent xmlns:mc="http://schemas.openxmlformats.org/markup-compatibility/2006">
          <mc:Choice Requires="x14">
            <control shapeId="198435" r:id="rId6" name="Check Box 23331">
              <controlPr locked="0" defaultSize="0" autoFill="0" autoLine="0" autoPict="0">
                <anchor moveWithCells="1">
                  <from>
                    <xdr:col>14</xdr:col>
                    <xdr:colOff>1485900</xdr:colOff>
                    <xdr:row>11</xdr:row>
                    <xdr:rowOff>9525</xdr:rowOff>
                  </from>
                  <to>
                    <xdr:col>14</xdr:col>
                    <xdr:colOff>1790700</xdr:colOff>
                    <xdr:row>12</xdr:row>
                    <xdr:rowOff>0</xdr:rowOff>
                  </to>
                </anchor>
              </controlPr>
            </control>
          </mc:Choice>
        </mc:AlternateContent>
        <mc:AlternateContent xmlns:mc="http://schemas.openxmlformats.org/markup-compatibility/2006">
          <mc:Choice Requires="x14">
            <control shapeId="198436" r:id="rId7" name="Check Box 23332">
              <controlPr locked="0" defaultSize="0" autoFill="0" autoLine="0" autoPict="0">
                <anchor moveWithCells="1">
                  <from>
                    <xdr:col>14</xdr:col>
                    <xdr:colOff>1485900</xdr:colOff>
                    <xdr:row>12</xdr:row>
                    <xdr:rowOff>9525</xdr:rowOff>
                  </from>
                  <to>
                    <xdr:col>14</xdr:col>
                    <xdr:colOff>1790700</xdr:colOff>
                    <xdr:row>13</xdr:row>
                    <xdr:rowOff>0</xdr:rowOff>
                  </to>
                </anchor>
              </controlPr>
            </control>
          </mc:Choice>
        </mc:AlternateContent>
        <mc:AlternateContent xmlns:mc="http://schemas.openxmlformats.org/markup-compatibility/2006">
          <mc:Choice Requires="x14">
            <control shapeId="198437" r:id="rId8" name="Check Box 23333">
              <controlPr locked="0" defaultSize="0" autoFill="0" autoLine="0" autoPict="0">
                <anchor moveWithCells="1">
                  <from>
                    <xdr:col>14</xdr:col>
                    <xdr:colOff>1485900</xdr:colOff>
                    <xdr:row>13</xdr:row>
                    <xdr:rowOff>0</xdr:rowOff>
                  </from>
                  <to>
                    <xdr:col>14</xdr:col>
                    <xdr:colOff>1790700</xdr:colOff>
                    <xdr:row>13</xdr:row>
                    <xdr:rowOff>219075</xdr:rowOff>
                  </to>
                </anchor>
              </controlPr>
            </control>
          </mc:Choice>
        </mc:AlternateContent>
        <mc:AlternateContent xmlns:mc="http://schemas.openxmlformats.org/markup-compatibility/2006">
          <mc:Choice Requires="x14">
            <control shapeId="198438" r:id="rId9" name="Check Box 23334">
              <controlPr locked="0" defaultSize="0" autoFill="0" autoLine="0" autoPict="0">
                <anchor moveWithCells="1">
                  <from>
                    <xdr:col>14</xdr:col>
                    <xdr:colOff>1485900</xdr:colOff>
                    <xdr:row>14</xdr:row>
                    <xdr:rowOff>0</xdr:rowOff>
                  </from>
                  <to>
                    <xdr:col>14</xdr:col>
                    <xdr:colOff>1790700</xdr:colOff>
                    <xdr:row>14</xdr:row>
                    <xdr:rowOff>219075</xdr:rowOff>
                  </to>
                </anchor>
              </controlPr>
            </control>
          </mc:Choice>
        </mc:AlternateContent>
        <mc:AlternateContent xmlns:mc="http://schemas.openxmlformats.org/markup-compatibility/2006">
          <mc:Choice Requires="x14">
            <control shapeId="198440" r:id="rId10" name="Check Box 23336">
              <controlPr locked="0" defaultSize="0" autoFill="0" autoLine="0" autoPict="0">
                <anchor moveWithCells="1">
                  <from>
                    <xdr:col>14</xdr:col>
                    <xdr:colOff>1485900</xdr:colOff>
                    <xdr:row>15</xdr:row>
                    <xdr:rowOff>0</xdr:rowOff>
                  </from>
                  <to>
                    <xdr:col>14</xdr:col>
                    <xdr:colOff>1790700</xdr:colOff>
                    <xdr:row>15</xdr:row>
                    <xdr:rowOff>219075</xdr:rowOff>
                  </to>
                </anchor>
              </controlPr>
            </control>
          </mc:Choice>
        </mc:AlternateContent>
        <mc:AlternateContent xmlns:mc="http://schemas.openxmlformats.org/markup-compatibility/2006">
          <mc:Choice Requires="x14">
            <control shapeId="198441" r:id="rId11" name="Check Box 23337">
              <controlPr locked="0" defaultSize="0" autoFill="0" autoLine="0" autoPict="0">
                <anchor moveWithCells="1">
                  <from>
                    <xdr:col>14</xdr:col>
                    <xdr:colOff>1485900</xdr:colOff>
                    <xdr:row>16</xdr:row>
                    <xdr:rowOff>0</xdr:rowOff>
                  </from>
                  <to>
                    <xdr:col>14</xdr:col>
                    <xdr:colOff>1790700</xdr:colOff>
                    <xdr:row>17</xdr:row>
                    <xdr:rowOff>9525</xdr:rowOff>
                  </to>
                </anchor>
              </controlPr>
            </control>
          </mc:Choice>
        </mc:AlternateContent>
        <mc:AlternateContent xmlns:mc="http://schemas.openxmlformats.org/markup-compatibility/2006">
          <mc:Choice Requires="x14">
            <control shapeId="198442" r:id="rId12" name="Check Box 23338">
              <controlPr locked="0" defaultSize="0" autoFill="0" autoLine="0" autoPict="0">
                <anchor moveWithCells="1">
                  <from>
                    <xdr:col>14</xdr:col>
                    <xdr:colOff>1485900</xdr:colOff>
                    <xdr:row>17</xdr:row>
                    <xdr:rowOff>0</xdr:rowOff>
                  </from>
                  <to>
                    <xdr:col>14</xdr:col>
                    <xdr:colOff>1790700</xdr:colOff>
                    <xdr:row>18</xdr:row>
                    <xdr:rowOff>9525</xdr:rowOff>
                  </to>
                </anchor>
              </controlPr>
            </control>
          </mc:Choice>
        </mc:AlternateContent>
        <mc:AlternateContent xmlns:mc="http://schemas.openxmlformats.org/markup-compatibility/2006">
          <mc:Choice Requires="x14">
            <control shapeId="198443" r:id="rId13" name="Check Box 23339">
              <controlPr locked="0" defaultSize="0" autoFill="0" autoLine="0" autoPict="0">
                <anchor moveWithCells="1">
                  <from>
                    <xdr:col>14</xdr:col>
                    <xdr:colOff>1485900</xdr:colOff>
                    <xdr:row>18</xdr:row>
                    <xdr:rowOff>0</xdr:rowOff>
                  </from>
                  <to>
                    <xdr:col>14</xdr:col>
                    <xdr:colOff>1790700</xdr:colOff>
                    <xdr:row>19</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R32"/>
  <sheetViews>
    <sheetView workbookViewId="0">
      <pane ySplit="11" topLeftCell="A12" activePane="bottomLeft" state="frozenSplit"/>
      <selection pane="bottomLeft" activeCell="A12" sqref="A12"/>
    </sheetView>
  </sheetViews>
  <sheetFormatPr baseColWidth="10" defaultColWidth="11.42578125" defaultRowHeight="16.5" x14ac:dyDescent="0.3"/>
  <cols>
    <col min="1" max="18" width="31.5703125" style="89" customWidth="1"/>
    <col min="19" max="16384" width="11.42578125" style="4"/>
  </cols>
  <sheetData>
    <row r="1" spans="1:18" s="1" customFormat="1" ht="111" customHeight="1" x14ac:dyDescent="0.3"/>
    <row r="2" spans="1:18" s="1" customFormat="1" ht="37.5" customHeight="1" thickBot="1" x14ac:dyDescent="0.35">
      <c r="A2" s="6" t="str">
        <f>mehrsprachigkeitBegriffsrückgabe(gewählteSpracheZurückgeben(),"MERCONIS PRODUCT MANAGER: Basic parameters")</f>
        <v>MERCONIS PRODUCT MANAGER: Basisparameter</v>
      </c>
      <c r="I2" s="94"/>
    </row>
    <row r="3" spans="1:18" s="1" customFormat="1" ht="15.75" customHeight="1" thickBot="1" x14ac:dyDescent="0.35">
      <c r="A3" s="147" t="str">
        <f>mehrsprachigkeitBegriffsrückgabe(gewählteSpracheZurückgeben(),"Language")</f>
        <v>Sprache</v>
      </c>
      <c r="B3" s="40">
        <v>2</v>
      </c>
    </row>
    <row r="4" spans="1:18" s="5" customFormat="1" ht="15.75" customHeight="1" thickBot="1" x14ac:dyDescent="0.3">
      <c r="A4" s="147" t="str">
        <f>mehrsprachigkeitBegriffsrückgabe(gewählteSpracheZurückgeben(),"Go to page")</f>
        <v>Gehe zu Seite</v>
      </c>
      <c r="B4" s="40">
        <v>0</v>
      </c>
    </row>
    <row r="5" spans="1:18" s="1" customFormat="1" ht="6" customHeight="1" thickBot="1" x14ac:dyDescent="0.35"/>
    <row r="6" spans="1:18" s="1" customFormat="1" hidden="1" x14ac:dyDescent="0.3">
      <c r="A6" s="8"/>
      <c r="B6" s="8">
        <v>1</v>
      </c>
      <c r="C6" s="8">
        <v>1</v>
      </c>
      <c r="D6" s="8"/>
      <c r="E6" s="8"/>
      <c r="F6" s="8"/>
      <c r="G6" s="8"/>
      <c r="H6" s="8"/>
      <c r="I6" s="8"/>
      <c r="J6" s="8"/>
      <c r="K6" s="8"/>
      <c r="L6" s="8"/>
      <c r="M6" s="8"/>
      <c r="N6" s="8"/>
      <c r="O6" s="8"/>
      <c r="P6" s="8"/>
      <c r="Q6" s="8"/>
      <c r="R6" s="8"/>
    </row>
    <row r="7" spans="1:18" s="1" customFormat="1" hidden="1" x14ac:dyDescent="0.3">
      <c r="A7" s="8"/>
      <c r="B7" s="8"/>
      <c r="C7" s="8"/>
      <c r="D7" s="8"/>
      <c r="E7" s="8"/>
      <c r="F7" s="8"/>
      <c r="G7" s="8"/>
      <c r="H7" s="8"/>
      <c r="I7" s="8"/>
      <c r="J7" s="8"/>
      <c r="K7" s="8"/>
      <c r="L7" s="8"/>
      <c r="M7" s="8"/>
      <c r="N7" s="8"/>
      <c r="O7" s="8"/>
      <c r="P7" s="8"/>
      <c r="Q7" s="8"/>
      <c r="R7" s="8"/>
    </row>
    <row r="8" spans="1:18" s="1" customFormat="1" hidden="1" x14ac:dyDescent="0.3">
      <c r="A8" s="8"/>
      <c r="B8" s="8"/>
      <c r="C8" s="8"/>
      <c r="D8" s="8"/>
      <c r="E8" s="8"/>
      <c r="F8" s="8"/>
      <c r="G8" s="8"/>
      <c r="H8" s="8"/>
      <c r="I8" s="8"/>
      <c r="J8" s="8"/>
      <c r="K8" s="8"/>
      <c r="L8" s="8"/>
      <c r="M8" s="8"/>
      <c r="N8" s="8"/>
      <c r="O8" s="8"/>
      <c r="P8" s="8"/>
      <c r="Q8" s="8"/>
      <c r="R8" s="8"/>
    </row>
    <row r="9" spans="1:18" s="1" customFormat="1" hidden="1" x14ac:dyDescent="0.3">
      <c r="A9" s="8"/>
      <c r="B9" s="8"/>
      <c r="C9" s="8"/>
      <c r="D9" s="8"/>
      <c r="E9" s="8"/>
      <c r="F9" s="8"/>
      <c r="G9" s="8"/>
      <c r="H9" s="8"/>
      <c r="I9" s="8"/>
      <c r="J9" s="8"/>
      <c r="K9" s="8"/>
      <c r="L9" s="8"/>
      <c r="M9" s="8"/>
      <c r="N9" s="8"/>
      <c r="O9" s="8"/>
      <c r="P9" s="8"/>
      <c r="Q9" s="8"/>
      <c r="R9" s="8"/>
    </row>
    <row r="10" spans="1:18" s="1" customFormat="1" ht="26.25" hidden="1" thickBot="1" x14ac:dyDescent="0.35">
      <c r="A10" s="8" t="s">
        <v>0</v>
      </c>
      <c r="B10" s="8" t="s">
        <v>1</v>
      </c>
      <c r="C10" s="8" t="s">
        <v>2</v>
      </c>
      <c r="D10" s="8" t="s">
        <v>3</v>
      </c>
      <c r="E10" s="8" t="s">
        <v>53</v>
      </c>
      <c r="F10" s="8" t="s">
        <v>55</v>
      </c>
      <c r="G10" s="8" t="s">
        <v>92</v>
      </c>
      <c r="H10" s="8" t="s">
        <v>58</v>
      </c>
      <c r="I10" s="8" t="s">
        <v>63</v>
      </c>
      <c r="J10" s="8" t="s">
        <v>64</v>
      </c>
      <c r="K10" s="8" t="s">
        <v>338</v>
      </c>
      <c r="L10" s="8" t="s">
        <v>215</v>
      </c>
      <c r="M10" s="8" t="s">
        <v>216</v>
      </c>
      <c r="N10" s="8" t="s">
        <v>217</v>
      </c>
      <c r="O10" s="8" t="s">
        <v>218</v>
      </c>
      <c r="P10" s="8" t="s">
        <v>93</v>
      </c>
      <c r="Q10" s="8" t="s">
        <v>93</v>
      </c>
      <c r="R10" s="8" t="s">
        <v>93</v>
      </c>
    </row>
    <row r="11" spans="1:18" s="9" customFormat="1" ht="17.25" thickBot="1" x14ac:dyDescent="0.35">
      <c r="A11" s="153" t="str">
        <f>mehrsprachigkeitBegriffsrückgabe(gewählteSpracheZurückgeben(),"Ignore")</f>
        <v>Importsperre</v>
      </c>
      <c r="B11" s="153" t="str">
        <f>mehrsprachigkeitBegriffsrückgabe(gewählteSpracheZurückgeben(),"Delete")</f>
        <v>Löschen</v>
      </c>
      <c r="C11" s="153" t="str">
        <f>mehrsprachigkeitBegriffsrückgabe(gewählteSpracheZurückgeben(),"Publish")</f>
        <v>Veröffentlichen</v>
      </c>
      <c r="D11" s="153" t="str">
        <f>mehrsprachigkeitBegriffsrückgabe(gewählteSpracheZurückgeben(),"Type")</f>
        <v>Typ</v>
      </c>
      <c r="E11" s="153" t="str">
        <f>mehrsprachigkeitBegriffsrückgabe(gewählteSpracheZurückgeben(),"Price: Price type")</f>
        <v>Preis: Art der Preisangabe</v>
      </c>
      <c r="F11" s="153" t="str">
        <f>mehrsprachigkeitBegriffsrückgabe(gewählteSpracheZurückgeben(),"Old price: Price type")</f>
        <v>Alter Preis: Art der Preisangabe</v>
      </c>
      <c r="G11" s="153" t="str">
        <f>mehrsprachigkeitBegriffsrückgabe(gewählteSpracheZurückgeben(),"Old price: Use")</f>
        <v>Alter Preis: Verwenden</v>
      </c>
      <c r="H11" s="153" t="str">
        <f>mehrsprachigkeitBegriffsrückgabe(gewählteSpracheZurückgeben(),"Weight type")</f>
        <v>Art der Gewichtsangabe</v>
      </c>
      <c r="I11" s="153" t="str">
        <f>mehrsprachigkeitBegriffsrückgabe(gewählteSpracheZurückgeben(),"New")</f>
        <v>Neuheit</v>
      </c>
      <c r="J11" s="153" t="str">
        <f>mehrsprachigkeitBegriffsrückgabe(gewählteSpracheZurückgeben(),"On sale")</f>
        <v>Sonderpreis</v>
      </c>
      <c r="K11" s="153" t="str">
        <f>mehrsprachigkeitBegriffsrückgabe(gewählteSpracheZurückgeben(),"Use group prices")</f>
        <v>Gruppenpreis anwenden</v>
      </c>
      <c r="L11" s="153" t="str">
        <f>mehrsprachigkeitBegriffsrückgabe(gewählteSpracheZurückgeben(),"Use scale price")</f>
        <v>Staffelpreis anwenden</v>
      </c>
      <c r="M11" s="153" t="str">
        <f>mehrsprachigkeitBegriffsrückgabe(gewählteSpracheZurückgeben(),"Scale price type")</f>
        <v>Art der Staffelpreisangabe</v>
      </c>
      <c r="N11" s="153" t="str">
        <f>mehrsprachigkeitBegriffsrückgabe(gewählteSpracheZurückgeben(),"Quantity detection method")</f>
        <v>Methode zur Mengenermittlung</v>
      </c>
      <c r="O11" s="153" t="str">
        <f>mehrsprachigkeitBegriffsrückgabe(gewählteSpracheZurückgeben(),"Always separate different configurations")</f>
        <v>Unterschiedliche Konfigurationen stets trennen</v>
      </c>
      <c r="P11" s="153" t="str">
        <f>mehrsprachigkeitBegriffsrückgabe(gewählteSpracheZurückgeben(),"Sheet names")</f>
        <v>Tabellenblattnamen</v>
      </c>
      <c r="Q11" s="153" t="str">
        <f>mehrsprachigkeitBegriffsrückgabe(gewählteSpracheZurückgeben(),"Languages")</f>
        <v>Sprachen</v>
      </c>
      <c r="R11" s="153" t="str">
        <f>mehrsprachigkeitBegriffsrückgabe(gewählteSpracheZurückgeben(),"Actions01")</f>
        <v>Aktionen01</v>
      </c>
    </row>
    <row r="12" spans="1:18" x14ac:dyDescent="0.3">
      <c r="A12" s="149">
        <v>1</v>
      </c>
      <c r="B12" s="149">
        <v>1</v>
      </c>
      <c r="C12" s="149">
        <v>1</v>
      </c>
      <c r="D12" s="89" t="str">
        <f>mehrsprachigkeitBegriffsrückgabe(gewählteSpracheZurückgeben(),"Product")</f>
        <v>Produkt</v>
      </c>
      <c r="E12" s="89" t="str">
        <f>mehrsprachigkeitBegriffsrückgabe(gewählteSpracheZurückgeben(),"Independent price")</f>
        <v>Eigenständiger Preis</v>
      </c>
      <c r="F12" s="89" t="str">
        <f>mehrsprachigkeitBegriffsrückgabe(gewählteSpracheZurückgeben(),"Independent price")</f>
        <v>Eigenständiger Preis</v>
      </c>
      <c r="G12" s="149">
        <v>1</v>
      </c>
      <c r="H12" s="149" t="str">
        <f>mehrsprachigkeitBegriffsrückgabe(gewählteSpracheZurückgeben(),"Independent weight")</f>
        <v>Eigenständiges Gewicht</v>
      </c>
      <c r="I12" s="149">
        <v>1</v>
      </c>
      <c r="J12" s="149">
        <v>1</v>
      </c>
      <c r="K12" s="149">
        <v>1</v>
      </c>
      <c r="L12" s="149">
        <v>1</v>
      </c>
      <c r="M12" s="149" t="str">
        <f>mehrsprachigkeitBegriffsrückgabe(gewählteSpracheZurückgeben(),"Fixed scale price")</f>
        <v>Feste Preisangabe</v>
      </c>
      <c r="N12" s="149" t="str">
        <f>mehrsprachigkeitBegriffsrückgabe(gewählteSpracheZurückgeben(),"Separated by products, variants and configurations")</f>
        <v>Produkte, Varianten und Konfigurationen getrennt</v>
      </c>
      <c r="O12" s="149">
        <v>1</v>
      </c>
      <c r="P12" s="149" t="str">
        <f>mehrsprachigkeitBegriffsrückgabe(gewählteSpracheZurückgeben(),"ProductManagement")</f>
        <v>Produktverwaltung</v>
      </c>
      <c r="Q12" s="149" t="s">
        <v>152</v>
      </c>
      <c r="R12" s="149" t="str">
        <f>mehrsprachigkeitBegriffsrückgabe(gewählteSpracheZurückgeben(),"Delete &gt;&gt;marked for deletion&lt;&lt;")</f>
        <v>Löschen &gt;&gt;zu löschende&lt;&lt;</v>
      </c>
    </row>
    <row r="13" spans="1:18" x14ac:dyDescent="0.3">
      <c r="D13" s="89" t="str">
        <f>mehrsprachigkeitBegriffsrückgabe(gewählteSpracheZurückgeben(),"Variant")</f>
        <v>Variante</v>
      </c>
      <c r="E13" s="149" t="str">
        <f>mehrsprachigkeitBegriffsrückgabe(gewählteSpracheZurückgeben(),"Percent")</f>
        <v>Prozentuale Anpassung</v>
      </c>
      <c r="F13" s="149" t="str">
        <f>mehrsprachigkeitBegriffsrückgabe(gewählteSpracheZurückgeben(),"Percent")</f>
        <v>Prozentuale Anpassung</v>
      </c>
      <c r="G13" s="149"/>
      <c r="H13" s="149" t="str">
        <f>mehrsprachigkeitBegriffsrückgabe(gewählteSpracheZurückgeben(),"Percent")</f>
        <v>Prozentuale Anpassung</v>
      </c>
      <c r="K13" s="149"/>
      <c r="L13" s="149"/>
      <c r="M13" s="149" t="str">
        <f>mehrsprachigkeitBegriffsrückgabe(gewählteSpracheZurückgeben(),"Percentaged adjustment")</f>
        <v>Prozentuale Anpassung</v>
      </c>
      <c r="N13" s="149" t="str">
        <f>mehrsprachigkeitBegriffsrückgabe(gewählteSpracheZurückgeben(),"Separated by products and variants")</f>
        <v>Produkte und Varianten getrennt</v>
      </c>
      <c r="P13" s="149" t="str">
        <f>mehrsprachigkeitBegriffsrückgabe(gewählteSpracheZurückgeben(),"Configuration")</f>
        <v>Konfiguration</v>
      </c>
      <c r="Q13" s="149" t="s">
        <v>75</v>
      </c>
      <c r="R13" s="149" t="str">
        <f>mehrsprachigkeitBegriffsrückgabe(gewählteSpracheZurückgeben(),"Delete &gt;&gt;ignored products&lt;&lt;")</f>
        <v>Löschen &gt;&gt;mit Importsperre&lt;&lt;</v>
      </c>
    </row>
    <row r="14" spans="1:18" x14ac:dyDescent="0.3">
      <c r="D14" s="89" t="str">
        <f>mehrsprachigkeitBegriffsrückgabe(gewählteSpracheZurückgeben(),"Product (foreign language)")</f>
        <v>Produkt (Fremdsprache)</v>
      </c>
      <c r="E14" s="89" t="str">
        <f>mehrsprachigkeitBegriffsrückgabe(gewählteSpracheZurückgeben(),"Fixed price")</f>
        <v>Anpassung mit fixem Preis</v>
      </c>
      <c r="F14" s="89" t="str">
        <f>mehrsprachigkeitBegriffsrückgabe(gewählteSpracheZurückgeben(),"Fixed price")</f>
        <v>Anpassung mit fixem Preis</v>
      </c>
      <c r="G14" s="149"/>
      <c r="H14" s="149" t="str">
        <f>mehrsprachigkeitBegriffsrückgabe(gewählteSpracheZurückgeben(),"Fixed weight")</f>
        <v>Anpassung mit fixem Gewicht</v>
      </c>
      <c r="K14" s="149"/>
      <c r="L14" s="149"/>
      <c r="M14" s="149" t="str">
        <f>mehrsprachigkeitBegriffsrückgabe(gewählteSpracheZurückgeben(),"Adjustment with a fixed value")</f>
        <v>Anpassung mit festem Wert</v>
      </c>
      <c r="N14" s="149" t="str">
        <f>mehrsprachigkeitBegriffsrückgabe(gewählteSpracheZurückgeben(),"Separated by products")</f>
        <v>Produkte getrennt</v>
      </c>
      <c r="P14" s="149" t="str">
        <f>mehrsprachigkeitBegriffsrückgabe(gewählteSpracheZurückgeben(),"BasicParameters")</f>
        <v>Basisparameter</v>
      </c>
      <c r="Q14" s="149"/>
      <c r="R14" s="149" t="str">
        <f>mehrsprachigkeitBegriffsrückgabe(gewählteSpracheZurückgeben(),"Parent product code &gt;&gt;semi auto mode (run now)&lt;&lt;")</f>
        <v>Übergeordnete Art.-Nr. &gt;&gt;halbautom. (jetzt)&lt;&lt;</v>
      </c>
    </row>
    <row r="15" spans="1:18" x14ac:dyDescent="0.3">
      <c r="D15" s="89" t="str">
        <f>mehrsprachigkeitBegriffsrückgabe(gewählteSpracheZurückgeben(),"Variant (foreign language)")</f>
        <v>Variante (Fremdsprache)</v>
      </c>
      <c r="E15" s="149"/>
      <c r="G15" s="149"/>
      <c r="H15" s="149"/>
      <c r="K15" s="149"/>
      <c r="L15" s="149"/>
      <c r="M15" s="149"/>
      <c r="N15" s="149" t="str">
        <f>mehrsprachigkeitBegriffsrückgabe(gewählteSpracheZurückgeben(),"Summarized by scale price keyword")</f>
        <v>Zusammengefasst nach Staffelpreis-Schlüsselwort</v>
      </c>
      <c r="P15" s="149" t="str">
        <f>mehrsprachigkeitBegriffsrückgabe(gewählteSpracheZurückgeben(),"DeletionLog")</f>
        <v>Löschprotokoll</v>
      </c>
      <c r="Q15" s="149"/>
      <c r="R15" s="149" t="str">
        <f>mehrsprachigkeitBegriffsrückgabe(gewählteSpracheZurückgeben(),"Parent product code &gt;&gt;full auto mode&lt;&lt;")</f>
        <v>Übergeordnete Art.-Nr. &gt;&gt;vollautom. ermitteln&lt;&lt;</v>
      </c>
    </row>
    <row r="16" spans="1:18" x14ac:dyDescent="0.3">
      <c r="D16" s="89" t="s">
        <v>255</v>
      </c>
      <c r="R16" s="149" t="str">
        <f>mehrsprachigkeitBegriffsrückgabe(gewählteSpracheZurückgeben(),"Export &gt;&gt;as CSV file&lt;&lt;")</f>
        <v>Exportieren &gt;&gt;als CSV-Datei&lt;&lt;</v>
      </c>
    </row>
    <row r="17" spans="18:18" x14ac:dyDescent="0.3">
      <c r="R17" s="149" t="str">
        <f>mehrsprachigkeitBegriffsrückgabe(gewählteSpracheZurückgeben(),"Export marked rows &gt;&gt;as CSV file&lt;&lt;")</f>
        <v>Markierte Zeilen exportieren &gt;&gt;als CSV-Datei&lt;&lt;</v>
      </c>
    </row>
    <row r="18" spans="18:18" x14ac:dyDescent="0.3">
      <c r="R18" s="89" t="str">
        <f>mehrsprachigkeitBegriffsrückgabe(gewählteSpracheZurückgeben(),"Auto row height")</f>
        <v>Automatische Zeilenhöhe</v>
      </c>
    </row>
    <row r="19" spans="18:18" x14ac:dyDescent="0.3">
      <c r="R19" s="89" t="str">
        <f>mehrsprachigkeitBegriffsrückgabe(gewählteSpracheZurückgeben(),"Create variants")</f>
        <v>Varianten erstellen!</v>
      </c>
    </row>
    <row r="20" spans="18:18" x14ac:dyDescent="0.3">
      <c r="R20" s="89" t="str">
        <f>mehrsprachigkeitBegriffsrückgabe(gewählteSpracheZurückgeben(),"Hide/show variants")</f>
        <v>Varianten ein-/ausblenden</v>
      </c>
    </row>
    <row r="22" spans="18:18" x14ac:dyDescent="0.3">
      <c r="R22" s="89" t="str">
        <f>mehrsprachigkeitBegriffsrückgabe(gewählteSpracheZurückgeben(),"Hide/show header")</f>
        <v>Kopfbereich ein-/ausblenden</v>
      </c>
    </row>
    <row r="23" spans="18:18" x14ac:dyDescent="0.3">
      <c r="R23" s="89" t="str">
        <f>mehrsprachigkeitBegriffsrückgabe(gewählteSpracheZurückgeben(),"Hide/show properties and values")</f>
        <v>Merkmale &amp; Ausprägungen ein-/ausblenden</v>
      </c>
    </row>
    <row r="24" spans="18:18" x14ac:dyDescent="0.3">
      <c r="R24" s="89" t="str">
        <f>mehrsprachigkeitBegriffsrückgabe(gewählteSpracheZurückgeben(),"Hide/show scale prices")</f>
        <v>Staffelpreise ein-/ausblenden</v>
      </c>
    </row>
    <row r="25" spans="18:18" x14ac:dyDescent="0.3">
      <c r="R25" s="89" t="str">
        <f>mehrsprachigkeitBegriffsrückgabe(gewählteSpracheZurückgeben(),"Hide/show member groups (0 to 5)")</f>
        <v>Mitgliedergruppen ein-/ausblenden (0 bis 5)</v>
      </c>
    </row>
    <row r="26" spans="18:18" x14ac:dyDescent="0.3">
      <c r="R26" s="89" t="str">
        <f>mehrsprachigkeitBegriffsrückgabe(gewählteSpracheZurückgeben(),"Hide/show FlexContent")</f>
        <v>FlexContent ein-/ausblenden</v>
      </c>
    </row>
    <row r="27" spans="18:18" x14ac:dyDescent="0.3">
      <c r="R27" s="89" t="str">
        <f>mehrsprachigkeitBegriffsrückgabe(gewählteSpracheZurückgeben(),"Select categories/member groups")</f>
        <v>Kategorien/Mitgliedergruppen auswählen</v>
      </c>
    </row>
    <row r="29" spans="18:18" x14ac:dyDescent="0.3">
      <c r="R29" s="89" t="str">
        <f>mehrsprachigkeitBegriffsrückgabe(gewählteSpracheZurückgeben(),"Create backup")</f>
        <v>Backup erstellen</v>
      </c>
    </row>
    <row r="30" spans="18:18" x14ac:dyDescent="0.3">
      <c r="R30" s="89" t="str">
        <f>mehrsprachigkeitBegriffsrückgabe(gewählteSpracheZurückgeben(),"Import/Update")</f>
        <v>Import/Update</v>
      </c>
    </row>
    <row r="32" spans="18:18" x14ac:dyDescent="0.3">
      <c r="R32" s="89" t="str">
        <f>mehrsprachigkeitBegriffsrückgabe(gewählteSpracheZurückgeben(),"Info")</f>
        <v>Info</v>
      </c>
    </row>
  </sheetData>
  <sheetProtection algorithmName="SHA-512" hashValue="TyweAo1l8ukmtVb5dWalmeQFcmK9O1nEyxlI3PebGrNEdxYUXWjY3xfICbTyd4NksQpuhkPGC77WzgmWl69ong==" saltValue="7gvZebkPKVA70EKt7oxBMg==" spinCount="100000" sheet="1" formatCells="0" formatColumns="0" formatRows="0" insertHyperlink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1" r:id="rId3" name="Dropdown_Seitenwaehler03">
              <controlPr defaultSize="0" autoLine="0" autoPict="0" macro="[0]!seitenwähler">
                <anchor moveWithCells="1">
                  <from>
                    <xdr:col>0</xdr:col>
                    <xdr:colOff>2095500</xdr:colOff>
                    <xdr:row>3</xdr:row>
                    <xdr:rowOff>0</xdr:rowOff>
                  </from>
                  <to>
                    <xdr:col>1</xdr:col>
                    <xdr:colOff>1314450</xdr:colOff>
                    <xdr:row>4</xdr:row>
                    <xdr:rowOff>0</xdr:rowOff>
                  </to>
                </anchor>
              </controlPr>
            </control>
          </mc:Choice>
        </mc:AlternateContent>
        <mc:AlternateContent xmlns:mc="http://schemas.openxmlformats.org/markup-compatibility/2006">
          <mc:Choice Requires="x14">
            <control shapeId="3092" r:id="rId4" name="Dropdown_Sprachwaehler03">
              <controlPr defaultSize="0" autoLine="0" autoPict="0" macro="[0]!toDosNachSprachwechsel">
                <anchor moveWithCells="1">
                  <from>
                    <xdr:col>0</xdr:col>
                    <xdr:colOff>2095500</xdr:colOff>
                    <xdr:row>1</xdr:row>
                    <xdr:rowOff>466725</xdr:rowOff>
                  </from>
                  <to>
                    <xdr:col>1</xdr:col>
                    <xdr:colOff>1314450</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BK11"/>
  <sheetViews>
    <sheetView workbookViewId="0">
      <pane ySplit="11" topLeftCell="A12" activePane="bottomLeft" state="frozenSplit"/>
      <selection pane="bottomLeft" activeCell="A12" sqref="A12"/>
    </sheetView>
  </sheetViews>
  <sheetFormatPr baseColWidth="10" defaultColWidth="11.42578125" defaultRowHeight="12.75" x14ac:dyDescent="0.2"/>
  <cols>
    <col min="1" max="1" width="12" style="45" customWidth="1"/>
    <col min="2" max="3" width="11.42578125" style="45" customWidth="1"/>
    <col min="4" max="4" width="19.28515625" style="45" customWidth="1"/>
    <col min="5" max="5" width="11.7109375" style="45" customWidth="1"/>
    <col min="6" max="6" width="12.7109375" style="45" customWidth="1"/>
    <col min="7" max="7" width="10" style="45" customWidth="1"/>
    <col min="8" max="8" width="19.7109375" style="45" customWidth="1"/>
    <col min="9" max="48" width="0" style="45" hidden="1" customWidth="1"/>
    <col min="49" max="49" width="69.7109375" style="45" customWidth="1"/>
    <col min="50" max="50" width="59.7109375" style="45" customWidth="1"/>
    <col min="51" max="51" width="27" style="45" customWidth="1"/>
    <col min="52" max="56" width="20.85546875" style="45" customWidth="1"/>
    <col min="57" max="57" width="8" style="45" bestFit="1" customWidth="1"/>
    <col min="58" max="58" width="6.28515625" style="45" bestFit="1" customWidth="1"/>
    <col min="59" max="59" width="20.42578125" style="45" bestFit="1" customWidth="1"/>
    <col min="60" max="60" width="11.42578125" style="45" bestFit="1" customWidth="1"/>
    <col min="61" max="61" width="17" style="45" bestFit="1" customWidth="1"/>
    <col min="62" max="62" width="19.85546875" style="45" customWidth="1"/>
    <col min="63" max="63" width="14" style="45" customWidth="1"/>
    <col min="64" max="64" width="9.85546875" style="45" customWidth="1"/>
    <col min="65" max="66" width="22.42578125" style="45" customWidth="1"/>
    <col min="67" max="67" width="35" style="45" customWidth="1"/>
    <col min="68" max="68" width="56" style="45" customWidth="1"/>
    <col min="69" max="69" width="12.140625" style="45" customWidth="1"/>
    <col min="70" max="70" width="22.42578125" style="45" customWidth="1"/>
    <col min="71" max="71" width="11.42578125" style="45"/>
    <col min="72" max="72" width="16.28515625" style="45" customWidth="1"/>
    <col min="73" max="16384" width="11.42578125" style="45"/>
  </cols>
  <sheetData>
    <row r="1" spans="1:63" s="1" customFormat="1" ht="111" customHeight="1" x14ac:dyDescent="0.3"/>
    <row r="2" spans="1:63" s="1" customFormat="1" ht="37.5" customHeight="1" thickBot="1" x14ac:dyDescent="0.35">
      <c r="A2" s="6" t="str">
        <f>mehrsprachigkeitBegriffsrückgabe(gewählteSpracheZurückgeben(),"MERCONIS PRODUCT MANAGER: Deletion log")</f>
        <v>MERCONIS PRODUCT MANAGER: Löschprotokoll</v>
      </c>
    </row>
    <row r="3" spans="1:63" s="1" customFormat="1" ht="15.75" customHeight="1" thickBot="1" x14ac:dyDescent="0.35">
      <c r="A3" s="147" t="str">
        <f>mehrsprachigkeitBegriffsrückgabe(gewählteSpracheZurückgeben(),"Language")</f>
        <v>Sprache</v>
      </c>
      <c r="B3" s="40">
        <v>2</v>
      </c>
    </row>
    <row r="4" spans="1:63" s="5" customFormat="1" ht="15.75" customHeight="1" thickBot="1" x14ac:dyDescent="0.3">
      <c r="A4" s="147" t="str">
        <f>mehrsprachigkeitBegriffsrückgabe(gewählteSpracheZurückgeben(),"Go to page")</f>
        <v>Gehe zu Seite</v>
      </c>
      <c r="B4" s="40">
        <v>0</v>
      </c>
      <c r="BA4" s="13"/>
      <c r="BB4" s="11"/>
      <c r="BC4" s="13"/>
      <c r="BD4" s="11"/>
      <c r="BF4" s="15"/>
      <c r="BG4" s="11"/>
      <c r="BJ4" s="19"/>
      <c r="BK4" s="17"/>
    </row>
    <row r="5" spans="1:63" s="2" customFormat="1" ht="6" customHeight="1" x14ac:dyDescent="0.3"/>
    <row r="6" spans="1:63" s="43" customFormat="1" ht="16.5" hidden="1" x14ac:dyDescent="0.3">
      <c r="A6" s="44"/>
      <c r="B6" s="44">
        <v>1</v>
      </c>
      <c r="C6" s="44">
        <v>1</v>
      </c>
      <c r="D6" s="44"/>
      <c r="E6" s="44"/>
      <c r="F6" s="44"/>
      <c r="G6" s="44"/>
      <c r="H6" s="44"/>
      <c r="I6" s="44"/>
      <c r="J6" s="44"/>
      <c r="K6" s="44"/>
    </row>
    <row r="7" spans="1:63" s="43" customFormat="1" ht="16.5" hidden="1" x14ac:dyDescent="0.3">
      <c r="A7" s="44"/>
      <c r="B7" s="44"/>
      <c r="C7" s="44"/>
      <c r="D7" s="44"/>
      <c r="E7" s="44"/>
      <c r="F7" s="44"/>
      <c r="G7" s="44"/>
      <c r="H7" s="44"/>
      <c r="I7" s="44"/>
      <c r="J7" s="44"/>
      <c r="K7" s="44"/>
    </row>
    <row r="8" spans="1:63" s="43" customFormat="1" ht="16.5" hidden="1" x14ac:dyDescent="0.3">
      <c r="A8" s="44"/>
      <c r="B8" s="44"/>
      <c r="C8" s="44"/>
      <c r="D8" s="44"/>
      <c r="E8" s="44"/>
      <c r="F8" s="44"/>
      <c r="G8" s="44"/>
      <c r="H8" s="44"/>
      <c r="I8" s="44"/>
      <c r="J8" s="44"/>
      <c r="K8" s="44"/>
    </row>
    <row r="9" spans="1:63" s="43" customFormat="1" ht="16.5" hidden="1" x14ac:dyDescent="0.3">
      <c r="A9" s="44"/>
      <c r="B9" s="44"/>
      <c r="C9" s="44"/>
      <c r="D9" s="44"/>
      <c r="E9" s="44"/>
      <c r="F9" s="44"/>
      <c r="G9" s="44"/>
      <c r="H9" s="44"/>
      <c r="I9" s="44"/>
      <c r="J9" s="44"/>
      <c r="K9" s="44"/>
    </row>
    <row r="10" spans="1:63" hidden="1" x14ac:dyDescent="0.2"/>
    <row r="11" spans="1:63" hidden="1" x14ac:dyDescent="0.2">
      <c r="B11" s="45">
        <v>2</v>
      </c>
    </row>
  </sheetData>
  <sheetProtection algorithmName="SHA-512" hashValue="RlSbsEC7mg1FSjgxWn+nS21aY0c9wmWEA5zwqNl2U+6xGH/v8hG0XfBpDhce+8oAGH35ySu+92lH+u7hVKv0mQ==" saltValue="O6d01B3z8Eovg9bytk3wIg==" spinCount="100000" sheet="1" formatCells="0" formatColumns="0" formatRows="0" insertRows="0" insertHyperlinks="0" deleteRow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down_Seitenwaehler04">
              <controlPr defaultSize="0" autoLine="0" autoPict="0" macro="[0]!seitenwähler">
                <anchor moveWithCells="1">
                  <from>
                    <xdr:col>1</xdr:col>
                    <xdr:colOff>0</xdr:colOff>
                    <xdr:row>3</xdr:row>
                    <xdr:rowOff>0</xdr:rowOff>
                  </from>
                  <to>
                    <xdr:col>2</xdr:col>
                    <xdr:colOff>561975</xdr:colOff>
                    <xdr:row>4</xdr:row>
                    <xdr:rowOff>0</xdr:rowOff>
                  </to>
                </anchor>
              </controlPr>
            </control>
          </mc:Choice>
        </mc:AlternateContent>
        <mc:AlternateContent xmlns:mc="http://schemas.openxmlformats.org/markup-compatibility/2006">
          <mc:Choice Requires="x14">
            <control shapeId="4098" r:id="rId4" name="Drop Down 2">
              <controlPr defaultSize="0" autoLine="0" autoPict="0" macro="[0]!toDosNachSprachwechsel">
                <anchor moveWithCells="1">
                  <from>
                    <xdr:col>1</xdr:col>
                    <xdr:colOff>0</xdr:colOff>
                    <xdr:row>1</xdr:row>
                    <xdr:rowOff>466725</xdr:rowOff>
                  </from>
                  <to>
                    <xdr:col>2</xdr:col>
                    <xdr:colOff>561975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Produktverwaltung</vt:lpstr>
      <vt:lpstr>Konfiguration</vt:lpstr>
      <vt:lpstr>Basisparameter</vt:lpstr>
      <vt:lpstr>Löschprotokoll</vt:lpstr>
      <vt:lpstr>aktionswaehler</vt:lpstr>
      <vt:lpstr>basisparameterAktionen01</vt:lpstr>
      <vt:lpstr>basisparameterAlterPreisPreisart</vt:lpstr>
      <vt:lpstr>basisparameterAlterPreisVerwenden</vt:lpstr>
      <vt:lpstr>basisparameterGewichtsangabe</vt:lpstr>
      <vt:lpstr>basisparameterImportsperre</vt:lpstr>
      <vt:lpstr>basisparameterLöschen</vt:lpstr>
      <vt:lpstr>basisparameterNeuheit</vt:lpstr>
      <vt:lpstr>basisparameterPreisart</vt:lpstr>
      <vt:lpstr>basisparameterSonderpreis</vt:lpstr>
      <vt:lpstr>basisparameterSprachen</vt:lpstr>
      <vt:lpstr>basisparameterStaffelpreisAnwenden</vt:lpstr>
      <vt:lpstr>basisparameterStaffelpreisArt</vt:lpstr>
      <vt:lpstr>basisparameterStaffelpreisMengenermittlungKonfigurationenTrennen</vt:lpstr>
      <vt:lpstr>basisparameterStaffelpreisMengenermittlungMethode</vt:lpstr>
      <vt:lpstr>basisparameterTabellenblattnamen</vt:lpstr>
      <vt:lpstr>basisparameterTyp</vt:lpstr>
      <vt:lpstr>basisparameterVeröffentlichen</vt:lpstr>
      <vt:lpstr>epmVersion</vt:lpstr>
      <vt:lpstr>flexContentAusblenden</vt:lpstr>
      <vt:lpstr>formelLokalTemporaerUmwandeln</vt:lpstr>
      <vt:lpstr>FormelLokalTemporärUmwandeln</vt:lpstr>
      <vt:lpstr>formelÜbergeordneteArtikelnummer</vt:lpstr>
      <vt:lpstr>formelUebergeordneteArtikelnummer</vt:lpstr>
      <vt:lpstr>formularParentProductCode</vt:lpstr>
      <vt:lpstr>gewaehlteSprache</vt:lpstr>
      <vt:lpstr>gruppenpreiseAusblenden</vt:lpstr>
      <vt:lpstr>kategorienAuswaehlen</vt:lpstr>
      <vt:lpstr>konfigurationAusprägung</vt:lpstr>
      <vt:lpstr>konfigurationKategorie</vt:lpstr>
      <vt:lpstr>konfigurationKonfigurator</vt:lpstr>
      <vt:lpstr>konfigurationLagerUndLieferzeit</vt:lpstr>
      <vt:lpstr>konfigurationMengeneinheit</vt:lpstr>
      <vt:lpstr>konfigurationMengenvergleichspreis</vt:lpstr>
      <vt:lpstr>konfigurationMerkmal</vt:lpstr>
      <vt:lpstr>konfigurationMitgliedergruppen</vt:lpstr>
      <vt:lpstr>konfigurationSprache</vt:lpstr>
      <vt:lpstr>konfigurationSteuersatz</vt:lpstr>
      <vt:lpstr>konfigurationTemplate</vt:lpstr>
      <vt:lpstr>kopfbereichAusblenden</vt:lpstr>
      <vt:lpstr>letzteAktiveZelle</vt:lpstr>
      <vt:lpstr>merkmaleAuspraegungenAusblenden</vt:lpstr>
      <vt:lpstr>modusUebergeordneteArtikelnummerEmitteln</vt:lpstr>
      <vt:lpstr>seitenwaehler</vt:lpstr>
      <vt:lpstr>staffelpreiseAusblenden</vt:lpstr>
      <vt:lpstr>variantenAlleAusblenden</vt:lpstr>
      <vt:lpstr>zentralwertMakrohinweis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dc:creator>
  <cp:lastModifiedBy>Volker Stuber</cp:lastModifiedBy>
  <dcterms:created xsi:type="dcterms:W3CDTF">2012-09-17T21:09:57Z</dcterms:created>
  <dcterms:modified xsi:type="dcterms:W3CDTF">2018-01-26T15:51:51Z</dcterms:modified>
</cp:coreProperties>
</file>